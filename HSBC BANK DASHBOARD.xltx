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2"/>
  <workbookPr hidePivotFieldList="1" refreshAllConnections="1"/>
  <mc:AlternateContent xmlns:mc="http://schemas.openxmlformats.org/markup-compatibility/2006">
    <mc:Choice Requires="x15">
      <x15ac:absPath xmlns:x15ac="http://schemas.microsoft.com/office/spreadsheetml/2010/11/ac" url="/Users/sambhav/"/>
    </mc:Choice>
  </mc:AlternateContent>
  <xr:revisionPtr revIDLastSave="0" documentId="13_ncr:1_{D91AE8EE-C451-1740-8F17-6DD751C6B265}" xr6:coauthVersionLast="47" xr6:coauthVersionMax="47" xr10:uidLastSave="{00000000-0000-0000-0000-000000000000}"/>
  <bookViews>
    <workbookView xWindow="0" yWindow="600" windowWidth="28160" windowHeight="15620" xr2:uid="{00000000-000D-0000-FFFF-FFFF00000000}"/>
  </bookViews>
  <sheets>
    <sheet name="DATA" sheetId="1" r:id="rId1"/>
    <sheet name="Pivot Table" sheetId="2" r:id="rId2"/>
    <sheet name="Dashboard" sheetId="3" r:id="rId3"/>
    <sheet name="Final Report" sheetId="4" r:id="rId4"/>
  </sheets>
  <definedNames>
    <definedName name="_xlnm._FilterDatabase" localSheetId="0" hidden="1">DATA!$A$1:$O$1001</definedName>
    <definedName name="Slicer_Account_Type">#N/A</definedName>
    <definedName name="Slicer_City">#N/A</definedName>
    <definedName name="Slicer_Customer_Segment">#N/A</definedName>
    <definedName name="Slicer_Customer_Status">#N/A</definedName>
    <definedName name="Slicer_Employment_Type">#N/A</definedName>
  </definedNames>
  <calcPr calcId="191029"/>
  <pivotCaches>
    <pivotCache cacheId="10"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2" l="1"/>
  <c r="I7" i="2"/>
  <c r="F7" i="2"/>
  <c r="H7" i="2"/>
</calcChain>
</file>

<file path=xl/sharedStrings.xml><?xml version="1.0" encoding="utf-8"?>
<sst xmlns="http://schemas.openxmlformats.org/spreadsheetml/2006/main" count="9071" uniqueCount="1384">
  <si>
    <t>Customer_Name</t>
  </si>
  <si>
    <t>Age</t>
  </si>
  <si>
    <t>City</t>
  </si>
  <si>
    <t>Customer_Segment</t>
  </si>
  <si>
    <t>Account_Type</t>
  </si>
  <si>
    <t>Account_Open_Date</t>
  </si>
  <si>
    <t>Employment_Type</t>
  </si>
  <si>
    <t>Annual_Income_INR</t>
  </si>
  <si>
    <t>Credit_Score</t>
  </si>
  <si>
    <t>Product</t>
  </si>
  <si>
    <t>Transaction_Channel</t>
  </si>
  <si>
    <t>Transaction_Count</t>
  </si>
  <si>
    <t>Transaction_Amount_INR</t>
  </si>
  <si>
    <t>Customer_Status</t>
  </si>
  <si>
    <t>HSBC100001</t>
  </si>
  <si>
    <t>Aarav Patel</t>
  </si>
  <si>
    <t>Mumbai</t>
  </si>
  <si>
    <t>Premier Banking</t>
  </si>
  <si>
    <t>Salary</t>
  </si>
  <si>
    <t>Retired</t>
  </si>
  <si>
    <t>Credit Card</t>
  </si>
  <si>
    <t>Mobile App</t>
  </si>
  <si>
    <t>Active</t>
  </si>
  <si>
    <t>HSBC100002</t>
  </si>
  <si>
    <t>Amit Patel</t>
  </si>
  <si>
    <t>Hyderabad</t>
  </si>
  <si>
    <t>Retail Banking</t>
  </si>
  <si>
    <t>Savings</t>
  </si>
  <si>
    <t>Salaried</t>
  </si>
  <si>
    <t>Auto Loan</t>
  </si>
  <si>
    <t>Branch</t>
  </si>
  <si>
    <t>HSBC100003</t>
  </si>
  <si>
    <t>Vikram Sharma</t>
  </si>
  <si>
    <t>Self-Employed</t>
  </si>
  <si>
    <t>Current Account</t>
  </si>
  <si>
    <t>HSBC100004</t>
  </si>
  <si>
    <t>Aditya Mehta</t>
  </si>
  <si>
    <t>Guwahati</t>
  </si>
  <si>
    <t>Relationship Manager</t>
  </si>
  <si>
    <t>Dormant</t>
  </si>
  <si>
    <t>HSBC100005</t>
  </si>
  <si>
    <t>Vikram Gupta</t>
  </si>
  <si>
    <t>Jaipur</t>
  </si>
  <si>
    <t>Current</t>
  </si>
  <si>
    <t>Professional</t>
  </si>
  <si>
    <t>ATM</t>
  </si>
  <si>
    <t>HSBC100006</t>
  </si>
  <si>
    <t>Kavya Sen</t>
  </si>
  <si>
    <t>Chennai</t>
  </si>
  <si>
    <t>HSBC100007</t>
  </si>
  <si>
    <t>Aditya Mondal</t>
  </si>
  <si>
    <t>Lucknow</t>
  </si>
  <si>
    <t>Business Owner</t>
  </si>
  <si>
    <t>HSBC100008</t>
  </si>
  <si>
    <t>Aarav Khan</t>
  </si>
  <si>
    <t>Bengaluru</t>
  </si>
  <si>
    <t>Business Banking</t>
  </si>
  <si>
    <t>Home Loan</t>
  </si>
  <si>
    <t>Internet Banking</t>
  </si>
  <si>
    <t>HSBC100009</t>
  </si>
  <si>
    <t>Kavya Mehta</t>
  </si>
  <si>
    <t>HSBC100010</t>
  </si>
  <si>
    <t>Vivaan Mondal</t>
  </si>
  <si>
    <t>HSBC100011</t>
  </si>
  <si>
    <t>Pooja Malhotra</t>
  </si>
  <si>
    <t>HSBC100012</t>
  </si>
  <si>
    <t>Pooja Chatterjee</t>
  </si>
  <si>
    <t>Investment</t>
  </si>
  <si>
    <t>HSBC100013</t>
  </si>
  <si>
    <t>Meera Roy</t>
  </si>
  <si>
    <t>Bhubaneswar</t>
  </si>
  <si>
    <t>HSBC100014</t>
  </si>
  <si>
    <t>Varun Sen</t>
  </si>
  <si>
    <t>HSBC100015</t>
  </si>
  <si>
    <t>Pooja Verma</t>
  </si>
  <si>
    <t>Ahmedabad</t>
  </si>
  <si>
    <t>HSBC100016</t>
  </si>
  <si>
    <t>Meera Das</t>
  </si>
  <si>
    <t>Personal Loan</t>
  </si>
  <si>
    <t>HSBC100017</t>
  </si>
  <si>
    <t>Karan Banerjee</t>
  </si>
  <si>
    <t>HSBC100018</t>
  </si>
  <si>
    <t>Karan Sharma</t>
  </si>
  <si>
    <t>Wealth Management</t>
  </si>
  <si>
    <t>HSBC100019</t>
  </si>
  <si>
    <t>Nikhil Malhotra</t>
  </si>
  <si>
    <t>Fixed Deposit</t>
  </si>
  <si>
    <t>HSBC100020</t>
  </si>
  <si>
    <t>Nikhil Roy</t>
  </si>
  <si>
    <t>Pune</t>
  </si>
  <si>
    <t>HSBC100021</t>
  </si>
  <si>
    <t>Amit Das</t>
  </si>
  <si>
    <t>Savings Account</t>
  </si>
  <si>
    <t>HSBC100022</t>
  </si>
  <si>
    <t>Aarav Verma</t>
  </si>
  <si>
    <t>HSBC100023</t>
  </si>
  <si>
    <t>Rohan Roy</t>
  </si>
  <si>
    <t>HSBC100024</t>
  </si>
  <si>
    <t>Ananya Banerjee</t>
  </si>
  <si>
    <t>HSBC100025</t>
  </si>
  <si>
    <t>Premium Savings</t>
  </si>
  <si>
    <t>HSBC100026</t>
  </si>
  <si>
    <t>Ishita Roy</t>
  </si>
  <si>
    <t>HSBC100027</t>
  </si>
  <si>
    <t>Rohan Sen</t>
  </si>
  <si>
    <t>Delhi</t>
  </si>
  <si>
    <t>HSBC100028</t>
  </si>
  <si>
    <t>Rahul Malhotra</t>
  </si>
  <si>
    <t>HSBC100029</t>
  </si>
  <si>
    <t>Neha Das</t>
  </si>
  <si>
    <t>HSBC100030</t>
  </si>
  <si>
    <t>Ishita Mondal</t>
  </si>
  <si>
    <t>HSBC100031</t>
  </si>
  <si>
    <t>Varun Banerjee</t>
  </si>
  <si>
    <t>HSBC100032</t>
  </si>
  <si>
    <t>Ishita Mehta</t>
  </si>
  <si>
    <t>HSBC100033</t>
  </si>
  <si>
    <t>Sanjay Banerjee</t>
  </si>
  <si>
    <t>HSBC100034</t>
  </si>
  <si>
    <t>Pooja Patel</t>
  </si>
  <si>
    <t>HSBC100035</t>
  </si>
  <si>
    <t>Sanjay Das</t>
  </si>
  <si>
    <t>HSBC100036</t>
  </si>
  <si>
    <t>Nikhil Sharma</t>
  </si>
  <si>
    <t>HSBC100037</t>
  </si>
  <si>
    <t>Pooja Singh</t>
  </si>
  <si>
    <t>HSBC100038</t>
  </si>
  <si>
    <t>Vikram Das</t>
  </si>
  <si>
    <t>Kolkata</t>
  </si>
  <si>
    <t>HSBC100039</t>
  </si>
  <si>
    <t>Sneha Singh</t>
  </si>
  <si>
    <t>HSBC100040</t>
  </si>
  <si>
    <t>Karan Singh</t>
  </si>
  <si>
    <t>HSBC100041</t>
  </si>
  <si>
    <t>Ananya Nair</t>
  </si>
  <si>
    <t>HSBC100042</t>
  </si>
  <si>
    <t>Arjun Banerjee</t>
  </si>
  <si>
    <t>HSBC100043</t>
  </si>
  <si>
    <t>Sneha Das</t>
  </si>
  <si>
    <t>HSBC100044</t>
  </si>
  <si>
    <t>Rohan Chatterjee</t>
  </si>
  <si>
    <t>HSBC100045</t>
  </si>
  <si>
    <t>Rahul Das</t>
  </si>
  <si>
    <t>HSBC100046</t>
  </si>
  <si>
    <t>Priya Roy</t>
  </si>
  <si>
    <t>HSBC100047</t>
  </si>
  <si>
    <t>Neha Gupta</t>
  </si>
  <si>
    <t>HSBC100048</t>
  </si>
  <si>
    <t>Vivaan Sharma</t>
  </si>
  <si>
    <t>HSBC100049</t>
  </si>
  <si>
    <t>Rohan Singh</t>
  </si>
  <si>
    <t>HSBC100050</t>
  </si>
  <si>
    <t>Rahul Banerjee</t>
  </si>
  <si>
    <t>HSBC100051</t>
  </si>
  <si>
    <t>Ishita Patel</t>
  </si>
  <si>
    <t>HSBC100052</t>
  </si>
  <si>
    <t>Priya Gupta</t>
  </si>
  <si>
    <t>HSBC100053</t>
  </si>
  <si>
    <t>Rahul Chatterjee</t>
  </si>
  <si>
    <t>HSBC100054</t>
  </si>
  <si>
    <t>HSBC100055</t>
  </si>
  <si>
    <t>Ishita Iyer</t>
  </si>
  <si>
    <t>HSBC100056</t>
  </si>
  <si>
    <t>HSBC100057</t>
  </si>
  <si>
    <t>Sneha Sharma</t>
  </si>
  <si>
    <t>HSBC100058</t>
  </si>
  <si>
    <t>HSBC100059</t>
  </si>
  <si>
    <t>Vivaan Khan</t>
  </si>
  <si>
    <t>HSBC100060</t>
  </si>
  <si>
    <t>Ananya Sharma</t>
  </si>
  <si>
    <t>HSBC100061</t>
  </si>
  <si>
    <t>Nikhil Sen</t>
  </si>
  <si>
    <t>HSBC100062</t>
  </si>
  <si>
    <t>Arjun Mondal</t>
  </si>
  <si>
    <t>HSBC100063</t>
  </si>
  <si>
    <t>Ananya Mehta</t>
  </si>
  <si>
    <t>HSBC100064</t>
  </si>
  <si>
    <t>Ananya Malhotra</t>
  </si>
  <si>
    <t>HSBC100065</t>
  </si>
  <si>
    <t>Arjun Sharma</t>
  </si>
  <si>
    <t>HSBC100066</t>
  </si>
  <si>
    <t>Karan Mehta</t>
  </si>
  <si>
    <t>HSBC100067</t>
  </si>
  <si>
    <t>Aditya Gupta</t>
  </si>
  <si>
    <t>HSBC100068</t>
  </si>
  <si>
    <t>Vivaan Patel</t>
  </si>
  <si>
    <t>HSBC100069</t>
  </si>
  <si>
    <t>HSBC100070</t>
  </si>
  <si>
    <t>Rohan Mehta</t>
  </si>
  <si>
    <t>HSBC100071</t>
  </si>
  <si>
    <t>Aarav Banerjee</t>
  </si>
  <si>
    <t>HSBC100072</t>
  </si>
  <si>
    <t>Arjun Verma</t>
  </si>
  <si>
    <t>HSBC100073</t>
  </si>
  <si>
    <t>Varun Mondal</t>
  </si>
  <si>
    <t>HSBC100074</t>
  </si>
  <si>
    <t>Aditya Roy</t>
  </si>
  <si>
    <t>HSBC100075</t>
  </si>
  <si>
    <t>HSBC100076</t>
  </si>
  <si>
    <t>Sneha Chatterjee</t>
  </si>
  <si>
    <t>HSBC100077</t>
  </si>
  <si>
    <t>Vivaan Singh</t>
  </si>
  <si>
    <t>HSBC100078</t>
  </si>
  <si>
    <t>Vivaan Sen</t>
  </si>
  <si>
    <t>HSBC100079</t>
  </si>
  <si>
    <t>Neha Singh</t>
  </si>
  <si>
    <t>HSBC100080</t>
  </si>
  <si>
    <t>HSBC100081</t>
  </si>
  <si>
    <t>Aarav Singh</t>
  </si>
  <si>
    <t>HSBC100082</t>
  </si>
  <si>
    <t>HSBC100083</t>
  </si>
  <si>
    <t>Priya Singh</t>
  </si>
  <si>
    <t>HSBC100084</t>
  </si>
  <si>
    <t>Karan Mondal</t>
  </si>
  <si>
    <t>HSBC100085</t>
  </si>
  <si>
    <t>Aditya Das</t>
  </si>
  <si>
    <t>HSBC100086</t>
  </si>
  <si>
    <t>Rohan Khan</t>
  </si>
  <si>
    <t>HSBC100087</t>
  </si>
  <si>
    <t>HSBC100088</t>
  </si>
  <si>
    <t>HSBC100089</t>
  </si>
  <si>
    <t>HSBC100090</t>
  </si>
  <si>
    <t>HSBC100091</t>
  </si>
  <si>
    <t>Sanjay Iyer</t>
  </si>
  <si>
    <t>HSBC100092</t>
  </si>
  <si>
    <t>HSBC100093</t>
  </si>
  <si>
    <t>Sanjay Verma</t>
  </si>
  <si>
    <t>HSBC100094</t>
  </si>
  <si>
    <t>Ishita Nair</t>
  </si>
  <si>
    <t>HSBC100095</t>
  </si>
  <si>
    <t>Meera Mehta</t>
  </si>
  <si>
    <t>HSBC100096</t>
  </si>
  <si>
    <t>Nikhil Mehta</t>
  </si>
  <si>
    <t>HSBC100097</t>
  </si>
  <si>
    <t>Sanjay Patel</t>
  </si>
  <si>
    <t>HSBC100098</t>
  </si>
  <si>
    <t>Rohan Gupta</t>
  </si>
  <si>
    <t>HSBC100099</t>
  </si>
  <si>
    <t>Meera Gupta</t>
  </si>
  <si>
    <t>HSBC100100</t>
  </si>
  <si>
    <t>Vikram Singh</t>
  </si>
  <si>
    <t>HSBC100101</t>
  </si>
  <si>
    <t>Amit Singh</t>
  </si>
  <si>
    <t>HSBC100102</t>
  </si>
  <si>
    <t>Ishita Verma</t>
  </si>
  <si>
    <t>HSBC100103</t>
  </si>
  <si>
    <t>Neha Iyer</t>
  </si>
  <si>
    <t>HSBC100104</t>
  </si>
  <si>
    <t>Kavya Malhotra</t>
  </si>
  <si>
    <t>HSBC100105</t>
  </si>
  <si>
    <t>Priya Malhotra</t>
  </si>
  <si>
    <t>HSBC100106</t>
  </si>
  <si>
    <t>HSBC100107</t>
  </si>
  <si>
    <t>Karan Nair</t>
  </si>
  <si>
    <t>HSBC100108</t>
  </si>
  <si>
    <t>HSBC100109</t>
  </si>
  <si>
    <t>HSBC100110</t>
  </si>
  <si>
    <t>HSBC100111</t>
  </si>
  <si>
    <t>HSBC100112</t>
  </si>
  <si>
    <t>Amit Verma</t>
  </si>
  <si>
    <t>HSBC100113</t>
  </si>
  <si>
    <t>Varun Patel</t>
  </si>
  <si>
    <t>HSBC100114</t>
  </si>
  <si>
    <t>HSBC100115</t>
  </si>
  <si>
    <t>Priya Patel</t>
  </si>
  <si>
    <t>HSBC100116</t>
  </si>
  <si>
    <t>Sanjay Nair</t>
  </si>
  <si>
    <t>HSBC100117</t>
  </si>
  <si>
    <t>Aditya Khan</t>
  </si>
  <si>
    <t>HSBC100118</t>
  </si>
  <si>
    <t>HSBC100119</t>
  </si>
  <si>
    <t>Aditya Sen</t>
  </si>
  <si>
    <t>HSBC100120</t>
  </si>
  <si>
    <t>HSBC100121</t>
  </si>
  <si>
    <t>HSBC100122</t>
  </si>
  <si>
    <t>HSBC100123</t>
  </si>
  <si>
    <t>Sanjay Roy</t>
  </si>
  <si>
    <t>HSBC100124</t>
  </si>
  <si>
    <t>HSBC100125</t>
  </si>
  <si>
    <t>Aarav Malhotra</t>
  </si>
  <si>
    <t>HSBC100126</t>
  </si>
  <si>
    <t>Sneha Banerjee</t>
  </si>
  <si>
    <t>HSBC100127</t>
  </si>
  <si>
    <t>HSBC100128</t>
  </si>
  <si>
    <t>HSBC100129</t>
  </si>
  <si>
    <t>Aditya Banerjee</t>
  </si>
  <si>
    <t>HSBC100130</t>
  </si>
  <si>
    <t>Vivaan Nair</t>
  </si>
  <si>
    <t>HSBC100131</t>
  </si>
  <si>
    <t>Sneha Iyer</t>
  </si>
  <si>
    <t>HSBC100132</t>
  </si>
  <si>
    <t>Amit Malhotra</t>
  </si>
  <si>
    <t>HSBC100133</t>
  </si>
  <si>
    <t>Aditya Chatterjee</t>
  </si>
  <si>
    <t>HSBC100134</t>
  </si>
  <si>
    <t>HSBC100135</t>
  </si>
  <si>
    <t>Varun Iyer</t>
  </si>
  <si>
    <t>HSBC100136</t>
  </si>
  <si>
    <t>HSBC100137</t>
  </si>
  <si>
    <t>Ishita Singh</t>
  </si>
  <si>
    <t>HSBC100138</t>
  </si>
  <si>
    <t>HSBC100139</t>
  </si>
  <si>
    <t>HSBC100140</t>
  </si>
  <si>
    <t>Priya Nair</t>
  </si>
  <si>
    <t>HSBC100141</t>
  </si>
  <si>
    <t>Karan Roy</t>
  </si>
  <si>
    <t>HSBC100142</t>
  </si>
  <si>
    <t>Rohan Sharma</t>
  </si>
  <si>
    <t>HSBC100143</t>
  </si>
  <si>
    <t>Sanjay Mondal</t>
  </si>
  <si>
    <t>HSBC100144</t>
  </si>
  <si>
    <t>Sneha Nair</t>
  </si>
  <si>
    <t>HSBC100145</t>
  </si>
  <si>
    <t>Amit Roy</t>
  </si>
  <si>
    <t>HSBC100146</t>
  </si>
  <si>
    <t>Amit Nair</t>
  </si>
  <si>
    <t>HSBC100147</t>
  </si>
  <si>
    <t>HSBC100148</t>
  </si>
  <si>
    <t>Meera Sharma</t>
  </si>
  <si>
    <t>HSBC100149</t>
  </si>
  <si>
    <t>HSBC100150</t>
  </si>
  <si>
    <t>Neha Verma</t>
  </si>
  <si>
    <t>HSBC100151</t>
  </si>
  <si>
    <t>Sanjay Singh</t>
  </si>
  <si>
    <t>HSBC100152</t>
  </si>
  <si>
    <t>Arjun Khan</t>
  </si>
  <si>
    <t>HSBC100153</t>
  </si>
  <si>
    <t>Rohan Iyer</t>
  </si>
  <si>
    <t>HSBC100154</t>
  </si>
  <si>
    <t>HSBC100155</t>
  </si>
  <si>
    <t>Rahul Patel</t>
  </si>
  <si>
    <t>HSBC100156</t>
  </si>
  <si>
    <t>Pooja Mehta</t>
  </si>
  <si>
    <t>HSBC100157</t>
  </si>
  <si>
    <t>HSBC100158</t>
  </si>
  <si>
    <t>Closed</t>
  </si>
  <si>
    <t>HSBC100159</t>
  </si>
  <si>
    <t>HSBC100160</t>
  </si>
  <si>
    <t>Arjun Chatterjee</t>
  </si>
  <si>
    <t>HSBC100161</t>
  </si>
  <si>
    <t>Vikram Roy</t>
  </si>
  <si>
    <t>HSBC100162</t>
  </si>
  <si>
    <t>Nikhil Iyer</t>
  </si>
  <si>
    <t>HSBC100163</t>
  </si>
  <si>
    <t>Pooja Banerjee</t>
  </si>
  <si>
    <t>HSBC100164</t>
  </si>
  <si>
    <t>Ananya Das</t>
  </si>
  <si>
    <t>HSBC100165</t>
  </si>
  <si>
    <t>Neha Sharma</t>
  </si>
  <si>
    <t>HSBC100166</t>
  </si>
  <si>
    <t>HSBC100167</t>
  </si>
  <si>
    <t>Rahul Sen</t>
  </si>
  <si>
    <t>HSBC100168</t>
  </si>
  <si>
    <t>HSBC100169</t>
  </si>
  <si>
    <t>Kavya Patel</t>
  </si>
  <si>
    <t>HSBC100170</t>
  </si>
  <si>
    <t>HSBC100171</t>
  </si>
  <si>
    <t>HSBC100172</t>
  </si>
  <si>
    <t>HSBC100173</t>
  </si>
  <si>
    <t>Priya Mondal</t>
  </si>
  <si>
    <t>HSBC100174</t>
  </si>
  <si>
    <t>HSBC100175</t>
  </si>
  <si>
    <t>Sanjay Mehta</t>
  </si>
  <si>
    <t>HSBC100176</t>
  </si>
  <si>
    <t>Aditya Malhotra</t>
  </si>
  <si>
    <t>HSBC100177</t>
  </si>
  <si>
    <t>HSBC100178</t>
  </si>
  <si>
    <t>Sneha Mehta</t>
  </si>
  <si>
    <t>HSBC100179</t>
  </si>
  <si>
    <t>Kavya Singh</t>
  </si>
  <si>
    <t>HSBC100180</t>
  </si>
  <si>
    <t>Neha Roy</t>
  </si>
  <si>
    <t>HSBC100181</t>
  </si>
  <si>
    <t>Pooja Sen</t>
  </si>
  <si>
    <t>HSBC100182</t>
  </si>
  <si>
    <t>Vivaan Chatterjee</t>
  </si>
  <si>
    <t>HSBC100183</t>
  </si>
  <si>
    <t>Neha Mehta</t>
  </si>
  <si>
    <t>HSBC100184</t>
  </si>
  <si>
    <t>HSBC100185</t>
  </si>
  <si>
    <t>Neha Mondal</t>
  </si>
  <si>
    <t>HSBC100186</t>
  </si>
  <si>
    <t>HSBC100187</t>
  </si>
  <si>
    <t>HSBC100188</t>
  </si>
  <si>
    <t>HSBC100189</t>
  </si>
  <si>
    <t>HSBC100190</t>
  </si>
  <si>
    <t>Vivaan Mehta</t>
  </si>
  <si>
    <t>HSBC100191</t>
  </si>
  <si>
    <t>Kavya Gupta</t>
  </si>
  <si>
    <t>HSBC100192</t>
  </si>
  <si>
    <t>Vikram Chatterjee</t>
  </si>
  <si>
    <t>HSBC100193</t>
  </si>
  <si>
    <t>Rohan Malhotra</t>
  </si>
  <si>
    <t>HSBC100194</t>
  </si>
  <si>
    <t>Amit Gupta</t>
  </si>
  <si>
    <t>HSBC100195</t>
  </si>
  <si>
    <t>HSBC100196</t>
  </si>
  <si>
    <t>Meera Iyer</t>
  </si>
  <si>
    <t>HSBC100197</t>
  </si>
  <si>
    <t>HSBC100198</t>
  </si>
  <si>
    <t>HSBC100199</t>
  </si>
  <si>
    <t>Vikram Iyer</t>
  </si>
  <si>
    <t>HSBC100200</t>
  </si>
  <si>
    <t>Nikhil Banerjee</t>
  </si>
  <si>
    <t>HSBC100201</t>
  </si>
  <si>
    <t>HSBC100202</t>
  </si>
  <si>
    <t>HSBC100203</t>
  </si>
  <si>
    <t>HSBC100204</t>
  </si>
  <si>
    <t>HSBC100205</t>
  </si>
  <si>
    <t>Aarav Gupta</t>
  </si>
  <si>
    <t>HSBC100206</t>
  </si>
  <si>
    <t>HSBC100207</t>
  </si>
  <si>
    <t>Vikram Khan</t>
  </si>
  <si>
    <t>HSBC100208</t>
  </si>
  <si>
    <t>Aarav Chatterjee</t>
  </si>
  <si>
    <t>HSBC100209</t>
  </si>
  <si>
    <t>Meera Singh</t>
  </si>
  <si>
    <t>HSBC100210</t>
  </si>
  <si>
    <t>HSBC100211</t>
  </si>
  <si>
    <t>HSBC100212</t>
  </si>
  <si>
    <t>HSBC100213</t>
  </si>
  <si>
    <t>Rahul Khan</t>
  </si>
  <si>
    <t>HSBC100214</t>
  </si>
  <si>
    <t>Karan Sen</t>
  </si>
  <si>
    <t>HSBC100215</t>
  </si>
  <si>
    <t>Ananya Iyer</t>
  </si>
  <si>
    <t>HSBC100216</t>
  </si>
  <si>
    <t>Nikhil Verma</t>
  </si>
  <si>
    <t>HSBC100217</t>
  </si>
  <si>
    <t>Priya Banerjee</t>
  </si>
  <si>
    <t>HSBC100218</t>
  </si>
  <si>
    <t>Ananya Sen</t>
  </si>
  <si>
    <t>HSBC100219</t>
  </si>
  <si>
    <t>Karan Verma</t>
  </si>
  <si>
    <t>HSBC100220</t>
  </si>
  <si>
    <t>HSBC100221</t>
  </si>
  <si>
    <t>HSBC100222</t>
  </si>
  <si>
    <t>HSBC100223</t>
  </si>
  <si>
    <t>HSBC100224</t>
  </si>
  <si>
    <t>Vivaan Malhotra</t>
  </si>
  <si>
    <t>HSBC100225</t>
  </si>
  <si>
    <t>HSBC100226</t>
  </si>
  <si>
    <t>HSBC100227</t>
  </si>
  <si>
    <t>HSBC100228</t>
  </si>
  <si>
    <t>HSBC100229</t>
  </si>
  <si>
    <t>Sneha Mondal</t>
  </si>
  <si>
    <t>HSBC100230</t>
  </si>
  <si>
    <t>HSBC100231</t>
  </si>
  <si>
    <t>Nikhil Nair</t>
  </si>
  <si>
    <t>HSBC100232</t>
  </si>
  <si>
    <t>HSBC100233</t>
  </si>
  <si>
    <t>Neha Malhotra</t>
  </si>
  <si>
    <t>HSBC100234</t>
  </si>
  <si>
    <t>Vivaan Verma</t>
  </si>
  <si>
    <t>HSBC100235</t>
  </si>
  <si>
    <t>Kavya Nair</t>
  </si>
  <si>
    <t>HSBC100236</t>
  </si>
  <si>
    <t>HSBC100237</t>
  </si>
  <si>
    <t>Arjun Roy</t>
  </si>
  <si>
    <t>HSBC100238</t>
  </si>
  <si>
    <t>Arjun Das</t>
  </si>
  <si>
    <t>HSBC100239</t>
  </si>
  <si>
    <t>HSBC100240</t>
  </si>
  <si>
    <t>Sanjay Khan</t>
  </si>
  <si>
    <t>HSBC100241</t>
  </si>
  <si>
    <t>HSBC100242</t>
  </si>
  <si>
    <t>HSBC100243</t>
  </si>
  <si>
    <t>HSBC100244</t>
  </si>
  <si>
    <t>HSBC100245</t>
  </si>
  <si>
    <t>Kavya Iyer</t>
  </si>
  <si>
    <t>HSBC100246</t>
  </si>
  <si>
    <t>HSBC100247</t>
  </si>
  <si>
    <t>HSBC100248</t>
  </si>
  <si>
    <t>HSBC100249</t>
  </si>
  <si>
    <t>HSBC100250</t>
  </si>
  <si>
    <t>Rahul Verma</t>
  </si>
  <si>
    <t>HSBC100251</t>
  </si>
  <si>
    <t>HSBC100252</t>
  </si>
  <si>
    <t>Nikhil Chatterjee</t>
  </si>
  <si>
    <t>HSBC100253</t>
  </si>
  <si>
    <t>HSBC100254</t>
  </si>
  <si>
    <t>Vivaan Iyer</t>
  </si>
  <si>
    <t>HSBC100255</t>
  </si>
  <si>
    <t>HSBC100256</t>
  </si>
  <si>
    <t>Aditya Iyer</t>
  </si>
  <si>
    <t>HSBC100257</t>
  </si>
  <si>
    <t>Neha Patel</t>
  </si>
  <si>
    <t>HSBC100258</t>
  </si>
  <si>
    <t>HSBC100259</t>
  </si>
  <si>
    <t>Ananya Roy</t>
  </si>
  <si>
    <t>HSBC100260</t>
  </si>
  <si>
    <t>HSBC100261</t>
  </si>
  <si>
    <t>Pooja Roy</t>
  </si>
  <si>
    <t>HSBC100262</t>
  </si>
  <si>
    <t>Ananya Chatterjee</t>
  </si>
  <si>
    <t>HSBC100263</t>
  </si>
  <si>
    <t>Aditya Sharma</t>
  </si>
  <si>
    <t>HSBC100264</t>
  </si>
  <si>
    <t>HSBC100265</t>
  </si>
  <si>
    <t>HSBC100266</t>
  </si>
  <si>
    <t>HSBC100267</t>
  </si>
  <si>
    <t>Varun Gupta</t>
  </si>
  <si>
    <t>HSBC100268</t>
  </si>
  <si>
    <t>Nikhil Singh</t>
  </si>
  <si>
    <t>HSBC100269</t>
  </si>
  <si>
    <t>Rohan Mondal</t>
  </si>
  <si>
    <t>HSBC100270</t>
  </si>
  <si>
    <t>HSBC100271</t>
  </si>
  <si>
    <t>HSBC100272</t>
  </si>
  <si>
    <t>HSBC100273</t>
  </si>
  <si>
    <t>HSBC100274</t>
  </si>
  <si>
    <t>HSBC100275</t>
  </si>
  <si>
    <t>Ishita Das</t>
  </si>
  <si>
    <t>HSBC100276</t>
  </si>
  <si>
    <t>Kavya Khan</t>
  </si>
  <si>
    <t>HSBC100277</t>
  </si>
  <si>
    <t>Meera Chatterjee</t>
  </si>
  <si>
    <t>HSBC100278</t>
  </si>
  <si>
    <t>HSBC100279</t>
  </si>
  <si>
    <t>HSBC100280</t>
  </si>
  <si>
    <t>HSBC100281</t>
  </si>
  <si>
    <t>Vikram Verma</t>
  </si>
  <si>
    <t>HSBC100282</t>
  </si>
  <si>
    <t>Pooja Das</t>
  </si>
  <si>
    <t>HSBC100283</t>
  </si>
  <si>
    <t>HSBC100284</t>
  </si>
  <si>
    <t>HSBC100285</t>
  </si>
  <si>
    <t>Ishita Sen</t>
  </si>
  <si>
    <t>HSBC100286</t>
  </si>
  <si>
    <t>HSBC100287</t>
  </si>
  <si>
    <t>HSBC100288</t>
  </si>
  <si>
    <t>HSBC100289</t>
  </si>
  <si>
    <t>HSBC100290</t>
  </si>
  <si>
    <t>HSBC100291</t>
  </si>
  <si>
    <t>Arjun Singh</t>
  </si>
  <si>
    <t>HSBC100292</t>
  </si>
  <si>
    <t>HSBC100293</t>
  </si>
  <si>
    <t>HSBC100294</t>
  </si>
  <si>
    <t>HSBC100295</t>
  </si>
  <si>
    <t>HSBC100296</t>
  </si>
  <si>
    <t>Vikram Sen</t>
  </si>
  <si>
    <t>HSBC100297</t>
  </si>
  <si>
    <t>HSBC100298</t>
  </si>
  <si>
    <t>HSBC100299</t>
  </si>
  <si>
    <t>Kavya Verma</t>
  </si>
  <si>
    <t>HSBC100300</t>
  </si>
  <si>
    <t>HSBC100301</t>
  </si>
  <si>
    <t>HSBC100302</t>
  </si>
  <si>
    <t>HSBC100303</t>
  </si>
  <si>
    <t>Rahul Singh</t>
  </si>
  <si>
    <t>HSBC100304</t>
  </si>
  <si>
    <t>HSBC100305</t>
  </si>
  <si>
    <t>HSBC100306</t>
  </si>
  <si>
    <t>HSBC100307</t>
  </si>
  <si>
    <t>HSBC100308</t>
  </si>
  <si>
    <t>HSBC100309</t>
  </si>
  <si>
    <t>HSBC100310</t>
  </si>
  <si>
    <t>Varun Sharma</t>
  </si>
  <si>
    <t>HSBC100311</t>
  </si>
  <si>
    <t>Priya Mehta</t>
  </si>
  <si>
    <t>HSBC100312</t>
  </si>
  <si>
    <t>Amit Khan</t>
  </si>
  <si>
    <t>HSBC100313</t>
  </si>
  <si>
    <t>Aarav Das</t>
  </si>
  <si>
    <t>HSBC100314</t>
  </si>
  <si>
    <t>Aarav Sharma</t>
  </si>
  <si>
    <t>HSBC100315</t>
  </si>
  <si>
    <t>HSBC100316</t>
  </si>
  <si>
    <t>Aarav Iyer</t>
  </si>
  <si>
    <t>HSBC100317</t>
  </si>
  <si>
    <t>HSBC100318</t>
  </si>
  <si>
    <t>Karan Das</t>
  </si>
  <si>
    <t>HSBC100319</t>
  </si>
  <si>
    <t>HSBC100320</t>
  </si>
  <si>
    <t>HSBC100321</t>
  </si>
  <si>
    <t>HSBC100322</t>
  </si>
  <si>
    <t>Vivaan Banerjee</t>
  </si>
  <si>
    <t>HSBC100323</t>
  </si>
  <si>
    <t>Ishita Sharma</t>
  </si>
  <si>
    <t>HSBC100324</t>
  </si>
  <si>
    <t>HSBC100325</t>
  </si>
  <si>
    <t>HSBC100326</t>
  </si>
  <si>
    <t>HSBC100327</t>
  </si>
  <si>
    <t>HSBC100328</t>
  </si>
  <si>
    <t>HSBC100329</t>
  </si>
  <si>
    <t>HSBC100330</t>
  </si>
  <si>
    <t>HSBC100331</t>
  </si>
  <si>
    <t>HSBC100332</t>
  </si>
  <si>
    <t>Varun Nair</t>
  </si>
  <si>
    <t>HSBC100333</t>
  </si>
  <si>
    <t>Kavya Chatterjee</t>
  </si>
  <si>
    <t>HSBC100334</t>
  </si>
  <si>
    <t>Karan Chatterjee</t>
  </si>
  <si>
    <t>HSBC100335</t>
  </si>
  <si>
    <t>Varun Malhotra</t>
  </si>
  <si>
    <t>HSBC100336</t>
  </si>
  <si>
    <t>Arjun Gupta</t>
  </si>
  <si>
    <t>HSBC100337</t>
  </si>
  <si>
    <t>Aditya Verma</t>
  </si>
  <si>
    <t>HSBC100338</t>
  </si>
  <si>
    <t>Neha Khan</t>
  </si>
  <si>
    <t>HSBC100339</t>
  </si>
  <si>
    <t>HSBC100340</t>
  </si>
  <si>
    <t>HSBC100341</t>
  </si>
  <si>
    <t>HSBC100342</t>
  </si>
  <si>
    <t>HSBC100343</t>
  </si>
  <si>
    <t>HSBC100344</t>
  </si>
  <si>
    <t>Nikhil Patel</t>
  </si>
  <si>
    <t>HSBC100345</t>
  </si>
  <si>
    <t>HSBC100346</t>
  </si>
  <si>
    <t>HSBC100347</t>
  </si>
  <si>
    <t>Nikhil Khan</t>
  </si>
  <si>
    <t>HSBC100348</t>
  </si>
  <si>
    <t>HSBC100349</t>
  </si>
  <si>
    <t>Amit Mondal</t>
  </si>
  <si>
    <t>HSBC100350</t>
  </si>
  <si>
    <t>HSBC100351</t>
  </si>
  <si>
    <t>Neha Chatterjee</t>
  </si>
  <si>
    <t>HSBC100352</t>
  </si>
  <si>
    <t>HSBC100353</t>
  </si>
  <si>
    <t>HSBC100354</t>
  </si>
  <si>
    <t>HSBC100355</t>
  </si>
  <si>
    <t>Kavya Sharma</t>
  </si>
  <si>
    <t>HSBC100356</t>
  </si>
  <si>
    <t>Karan Khan</t>
  </si>
  <si>
    <t>HSBC100357</t>
  </si>
  <si>
    <t>HSBC100358</t>
  </si>
  <si>
    <t>HSBC100359</t>
  </si>
  <si>
    <t>HSBC100360</t>
  </si>
  <si>
    <t>HSBC100361</t>
  </si>
  <si>
    <t>Varun Khan</t>
  </si>
  <si>
    <t>HSBC100362</t>
  </si>
  <si>
    <t>Amit Sharma</t>
  </si>
  <si>
    <t>HSBC100363</t>
  </si>
  <si>
    <t>HSBC100364</t>
  </si>
  <si>
    <t>HSBC100365</t>
  </si>
  <si>
    <t>HSBC100366</t>
  </si>
  <si>
    <t>HSBC100367</t>
  </si>
  <si>
    <t>Kavya Das</t>
  </si>
  <si>
    <t>HSBC100368</t>
  </si>
  <si>
    <t>HSBC100369</t>
  </si>
  <si>
    <t>HSBC100370</t>
  </si>
  <si>
    <t>Nikhil Mondal</t>
  </si>
  <si>
    <t>HSBC100371</t>
  </si>
  <si>
    <t>HSBC100372</t>
  </si>
  <si>
    <t>HSBC100373</t>
  </si>
  <si>
    <t>HSBC100374</t>
  </si>
  <si>
    <t>HSBC100375</t>
  </si>
  <si>
    <t>HSBC100376</t>
  </si>
  <si>
    <t>HSBC100377</t>
  </si>
  <si>
    <t>Meera Nair</t>
  </si>
  <si>
    <t>HSBC100378</t>
  </si>
  <si>
    <t>Priya Khan</t>
  </si>
  <si>
    <t>HSBC100379</t>
  </si>
  <si>
    <t>Pooja Nair</t>
  </si>
  <si>
    <t>HSBC100380</t>
  </si>
  <si>
    <t>HSBC100381</t>
  </si>
  <si>
    <t>HSBC100382</t>
  </si>
  <si>
    <t>Rahul Iyer</t>
  </si>
  <si>
    <t>HSBC100383</t>
  </si>
  <si>
    <t>Neha Nair</t>
  </si>
  <si>
    <t>HSBC100384</t>
  </si>
  <si>
    <t>HSBC100385</t>
  </si>
  <si>
    <t>HSBC100386</t>
  </si>
  <si>
    <t>Varun Das</t>
  </si>
  <si>
    <t>HSBC100387</t>
  </si>
  <si>
    <t>Karan Gupta</t>
  </si>
  <si>
    <t>HSBC100388</t>
  </si>
  <si>
    <t>Sanjay Chatterjee</t>
  </si>
  <si>
    <t>HSBC100389</t>
  </si>
  <si>
    <t>HSBC100390</t>
  </si>
  <si>
    <t>HSBC100391</t>
  </si>
  <si>
    <t>Aarav Mehta</t>
  </si>
  <si>
    <t>HSBC100392</t>
  </si>
  <si>
    <t>HSBC100393</t>
  </si>
  <si>
    <t>Arjun Iyer</t>
  </si>
  <si>
    <t>HSBC100394</t>
  </si>
  <si>
    <t>HSBC100395</t>
  </si>
  <si>
    <t>HSBC100396</t>
  </si>
  <si>
    <t>HSBC100397</t>
  </si>
  <si>
    <t>HSBC100398</t>
  </si>
  <si>
    <t>Priya Iyer</t>
  </si>
  <si>
    <t>HSBC100399</t>
  </si>
  <si>
    <t>HSBC100400</t>
  </si>
  <si>
    <t>HSBC100401</t>
  </si>
  <si>
    <t>HSBC100402</t>
  </si>
  <si>
    <t>HSBC100403</t>
  </si>
  <si>
    <t>HSBC100404</t>
  </si>
  <si>
    <t>HSBC100405</t>
  </si>
  <si>
    <t>HSBC100406</t>
  </si>
  <si>
    <t>HSBC100407</t>
  </si>
  <si>
    <t>HSBC100408</t>
  </si>
  <si>
    <t>Sanjay Sharma</t>
  </si>
  <si>
    <t>HSBC100409</t>
  </si>
  <si>
    <t>HSBC100410</t>
  </si>
  <si>
    <t>HSBC100411</t>
  </si>
  <si>
    <t>HSBC100412</t>
  </si>
  <si>
    <t>HSBC100413</t>
  </si>
  <si>
    <t>HSBC100414</t>
  </si>
  <si>
    <t>HSBC100415</t>
  </si>
  <si>
    <t>HSBC100416</t>
  </si>
  <si>
    <t>HSBC100417</t>
  </si>
  <si>
    <t>HSBC100418</t>
  </si>
  <si>
    <t>HSBC100419</t>
  </si>
  <si>
    <t>HSBC100420</t>
  </si>
  <si>
    <t>HSBC100421</t>
  </si>
  <si>
    <t>Pooja Khan</t>
  </si>
  <si>
    <t>HSBC100422</t>
  </si>
  <si>
    <t>HSBC100423</t>
  </si>
  <si>
    <t>Amit Mehta</t>
  </si>
  <si>
    <t>HSBC100424</t>
  </si>
  <si>
    <t>HSBC100425</t>
  </si>
  <si>
    <t>HSBC100426</t>
  </si>
  <si>
    <t>Amit Iyer</t>
  </si>
  <si>
    <t>HSBC100427</t>
  </si>
  <si>
    <t>HSBC100428</t>
  </si>
  <si>
    <t>HSBC100429</t>
  </si>
  <si>
    <t>HSBC100430</t>
  </si>
  <si>
    <t>Ishita Gupta</t>
  </si>
  <si>
    <t>HSBC100431</t>
  </si>
  <si>
    <t>HSBC100432</t>
  </si>
  <si>
    <t>Sneha Roy</t>
  </si>
  <si>
    <t>HSBC100433</t>
  </si>
  <si>
    <t>HSBC100434</t>
  </si>
  <si>
    <t>HSBC100435</t>
  </si>
  <si>
    <t>HSBC100436</t>
  </si>
  <si>
    <t>HSBC100437</t>
  </si>
  <si>
    <t>HSBC100438</t>
  </si>
  <si>
    <t>HSBC100439</t>
  </si>
  <si>
    <t>HSBC100440</t>
  </si>
  <si>
    <t>HSBC100441</t>
  </si>
  <si>
    <t>HSBC100442</t>
  </si>
  <si>
    <t>HSBC100443</t>
  </si>
  <si>
    <t>HSBC100444</t>
  </si>
  <si>
    <t>HSBC100445</t>
  </si>
  <si>
    <t>HSBC100446</t>
  </si>
  <si>
    <t>HSBC100447</t>
  </si>
  <si>
    <t>Ishita Chatterjee</t>
  </si>
  <si>
    <t>HSBC100448</t>
  </si>
  <si>
    <t>HSBC100449</t>
  </si>
  <si>
    <t>HSBC100450</t>
  </si>
  <si>
    <t>HSBC100451</t>
  </si>
  <si>
    <t>HSBC100452</t>
  </si>
  <si>
    <t>HSBC100453</t>
  </si>
  <si>
    <t>Meera Sen</t>
  </si>
  <si>
    <t>HSBC100454</t>
  </si>
  <si>
    <t>Neha Banerjee</t>
  </si>
  <si>
    <t>HSBC100455</t>
  </si>
  <si>
    <t>Vivaan Das</t>
  </si>
  <si>
    <t>HSBC100456</t>
  </si>
  <si>
    <t>HSBC100457</t>
  </si>
  <si>
    <t>HSBC100458</t>
  </si>
  <si>
    <t>HSBC100459</t>
  </si>
  <si>
    <t>HSBC100460</t>
  </si>
  <si>
    <t>Neha Sen</t>
  </si>
  <si>
    <t>HSBC100461</t>
  </si>
  <si>
    <t>Sneha Verma</t>
  </si>
  <si>
    <t>HSBC100462</t>
  </si>
  <si>
    <t>HSBC100463</t>
  </si>
  <si>
    <t>HSBC100464</t>
  </si>
  <si>
    <t>Rahul Nair</t>
  </si>
  <si>
    <t>HSBC100465</t>
  </si>
  <si>
    <t>HSBC100466</t>
  </si>
  <si>
    <t>Nikhil Gupta</t>
  </si>
  <si>
    <t>HSBC100467</t>
  </si>
  <si>
    <t>HSBC100468</t>
  </si>
  <si>
    <t>HSBC100469</t>
  </si>
  <si>
    <t>HSBC100470</t>
  </si>
  <si>
    <t>HSBC100471</t>
  </si>
  <si>
    <t>HSBC100472</t>
  </si>
  <si>
    <t>HSBC100473</t>
  </si>
  <si>
    <t>Ishita Banerjee</t>
  </si>
  <si>
    <t>HSBC100474</t>
  </si>
  <si>
    <t>HSBC100475</t>
  </si>
  <si>
    <t>HSBC100476</t>
  </si>
  <si>
    <t>HSBC100477</t>
  </si>
  <si>
    <t>HSBC100478</t>
  </si>
  <si>
    <t>HSBC100479</t>
  </si>
  <si>
    <t>Ananya Mondal</t>
  </si>
  <si>
    <t>HSBC100480</t>
  </si>
  <si>
    <t>Vikram Nair</t>
  </si>
  <si>
    <t>HSBC100481</t>
  </si>
  <si>
    <t>HSBC100482</t>
  </si>
  <si>
    <t>HSBC100483</t>
  </si>
  <si>
    <t>HSBC100484</t>
  </si>
  <si>
    <t>Vikram Malhotra</t>
  </si>
  <si>
    <t>HSBC100485</t>
  </si>
  <si>
    <t>Vivaan Gupta</t>
  </si>
  <si>
    <t>HSBC100486</t>
  </si>
  <si>
    <t>HSBC100487</t>
  </si>
  <si>
    <t>HSBC100488</t>
  </si>
  <si>
    <t>Rohan Verma</t>
  </si>
  <si>
    <t>HSBC100489</t>
  </si>
  <si>
    <t>HSBC100490</t>
  </si>
  <si>
    <t>HSBC100491</t>
  </si>
  <si>
    <t>Meera Patel</t>
  </si>
  <si>
    <t>HSBC100492</t>
  </si>
  <si>
    <t>HSBC100493</t>
  </si>
  <si>
    <t>HSBC100494</t>
  </si>
  <si>
    <t>HSBC100495</t>
  </si>
  <si>
    <t>Ananya Patel</t>
  </si>
  <si>
    <t>HSBC100496</t>
  </si>
  <si>
    <t>Meera Verma</t>
  </si>
  <si>
    <t>HSBC100497</t>
  </si>
  <si>
    <t>HSBC100498</t>
  </si>
  <si>
    <t>HSBC100499</t>
  </si>
  <si>
    <t>HSBC100500</t>
  </si>
  <si>
    <t>Arjun Sen</t>
  </si>
  <si>
    <t>HSBC100501</t>
  </si>
  <si>
    <t>Sneha Gupta</t>
  </si>
  <si>
    <t>HSBC100502</t>
  </si>
  <si>
    <t>Nikhil Das</t>
  </si>
  <si>
    <t>HSBC100503</t>
  </si>
  <si>
    <t>Pooja Iyer</t>
  </si>
  <si>
    <t>HSBC100504</t>
  </si>
  <si>
    <t>Arjun Malhotra</t>
  </si>
  <si>
    <t>HSBC100505</t>
  </si>
  <si>
    <t>HSBC100506</t>
  </si>
  <si>
    <t>HSBC100507</t>
  </si>
  <si>
    <t>HSBC100508</t>
  </si>
  <si>
    <t>Meera Banerjee</t>
  </si>
  <si>
    <t>HSBC100509</t>
  </si>
  <si>
    <t>Arjun Nair</t>
  </si>
  <si>
    <t>HSBC100510</t>
  </si>
  <si>
    <t>HSBC100511</t>
  </si>
  <si>
    <t>HSBC100512</t>
  </si>
  <si>
    <t>HSBC100513</t>
  </si>
  <si>
    <t>HSBC100514</t>
  </si>
  <si>
    <t>HSBC100515</t>
  </si>
  <si>
    <t>Karan Iyer</t>
  </si>
  <si>
    <t>HSBC100516</t>
  </si>
  <si>
    <t>HSBC100517</t>
  </si>
  <si>
    <t>HSBC100518</t>
  </si>
  <si>
    <t>HSBC100519</t>
  </si>
  <si>
    <t>HSBC100520</t>
  </si>
  <si>
    <t>HSBC100521</t>
  </si>
  <si>
    <t>HSBC100522</t>
  </si>
  <si>
    <t>HSBC100523</t>
  </si>
  <si>
    <t>HSBC100524</t>
  </si>
  <si>
    <t>HSBC100525</t>
  </si>
  <si>
    <t>Sneha Patel</t>
  </si>
  <si>
    <t>HSBC100526</t>
  </si>
  <si>
    <t>HSBC100527</t>
  </si>
  <si>
    <t>HSBC100528</t>
  </si>
  <si>
    <t>HSBC100529</t>
  </si>
  <si>
    <t>HSBC100530</t>
  </si>
  <si>
    <t>HSBC100531</t>
  </si>
  <si>
    <t>HSBC100532</t>
  </si>
  <si>
    <t>HSBC100533</t>
  </si>
  <si>
    <t>HSBC100534</t>
  </si>
  <si>
    <t>HSBC100535</t>
  </si>
  <si>
    <t>HSBC100536</t>
  </si>
  <si>
    <t>HSBC100537</t>
  </si>
  <si>
    <t>HSBC100538</t>
  </si>
  <si>
    <t>Amit Sen</t>
  </si>
  <si>
    <t>HSBC100539</t>
  </si>
  <si>
    <t>HSBC100540</t>
  </si>
  <si>
    <t>HSBC100541</t>
  </si>
  <si>
    <t>HSBC100542</t>
  </si>
  <si>
    <t>Sanjay Gupta</t>
  </si>
  <si>
    <t>HSBC100543</t>
  </si>
  <si>
    <t>HSBC100544</t>
  </si>
  <si>
    <t>Kavya Mondal</t>
  </si>
  <si>
    <t>HSBC100545</t>
  </si>
  <si>
    <t>Karan Malhotra</t>
  </si>
  <si>
    <t>HSBC100546</t>
  </si>
  <si>
    <t>HSBC100547</t>
  </si>
  <si>
    <t>HSBC100548</t>
  </si>
  <si>
    <t>HSBC100549</t>
  </si>
  <si>
    <t>HSBC100550</t>
  </si>
  <si>
    <t>Aditya Patel</t>
  </si>
  <si>
    <t>HSBC100551</t>
  </si>
  <si>
    <t>HSBC100552</t>
  </si>
  <si>
    <t>HSBC100553</t>
  </si>
  <si>
    <t>HSBC100554</t>
  </si>
  <si>
    <t>HSBC100555</t>
  </si>
  <si>
    <t>HSBC100556</t>
  </si>
  <si>
    <t>Pooja Mondal</t>
  </si>
  <si>
    <t>HSBC100557</t>
  </si>
  <si>
    <t>HSBC100558</t>
  </si>
  <si>
    <t>HSBC100559</t>
  </si>
  <si>
    <t>HSBC100560</t>
  </si>
  <si>
    <t>HSBC100561</t>
  </si>
  <si>
    <t>HSBC100562</t>
  </si>
  <si>
    <t>Aarav Roy</t>
  </si>
  <si>
    <t>HSBC100563</t>
  </si>
  <si>
    <t>Aditya Singh</t>
  </si>
  <si>
    <t>HSBC100564</t>
  </si>
  <si>
    <t>HSBC100565</t>
  </si>
  <si>
    <t>HSBC100566</t>
  </si>
  <si>
    <t>HSBC100567</t>
  </si>
  <si>
    <t>HSBC100568</t>
  </si>
  <si>
    <t>HSBC100569</t>
  </si>
  <si>
    <t>HSBC100570</t>
  </si>
  <si>
    <t>HSBC100571</t>
  </si>
  <si>
    <t>HSBC100572</t>
  </si>
  <si>
    <t>HSBC100573</t>
  </si>
  <si>
    <t>HSBC100574</t>
  </si>
  <si>
    <t>HSBC100575</t>
  </si>
  <si>
    <t>HSBC100576</t>
  </si>
  <si>
    <t>HSBC100577</t>
  </si>
  <si>
    <t>Rahul Sharma</t>
  </si>
  <si>
    <t>HSBC100578</t>
  </si>
  <si>
    <t>HSBC100579</t>
  </si>
  <si>
    <t>Varun Mehta</t>
  </si>
  <si>
    <t>HSBC100580</t>
  </si>
  <si>
    <t>HSBC100581</t>
  </si>
  <si>
    <t>HSBC100582</t>
  </si>
  <si>
    <t>HSBC100583</t>
  </si>
  <si>
    <t>HSBC100584</t>
  </si>
  <si>
    <t>HSBC100585</t>
  </si>
  <si>
    <t>Meera Khan</t>
  </si>
  <si>
    <t>HSBC100586</t>
  </si>
  <si>
    <t>Sanjay Malhotra</t>
  </si>
  <si>
    <t>HSBC100587</t>
  </si>
  <si>
    <t>HSBC100588</t>
  </si>
  <si>
    <t>HSBC100589</t>
  </si>
  <si>
    <t>HSBC100590</t>
  </si>
  <si>
    <t>HSBC100591</t>
  </si>
  <si>
    <t>HSBC100592</t>
  </si>
  <si>
    <t>HSBC100593</t>
  </si>
  <si>
    <t>Vikram Mehta</t>
  </si>
  <si>
    <t>HSBC100594</t>
  </si>
  <si>
    <t>HSBC100595</t>
  </si>
  <si>
    <t>HSBC100596</t>
  </si>
  <si>
    <t>HSBC100597</t>
  </si>
  <si>
    <t>HSBC100598</t>
  </si>
  <si>
    <t>Aarav Sen</t>
  </si>
  <si>
    <t>HSBC100599</t>
  </si>
  <si>
    <t>HSBC100600</t>
  </si>
  <si>
    <t>Rahul Roy</t>
  </si>
  <si>
    <t>HSBC100601</t>
  </si>
  <si>
    <t>HSBC100602</t>
  </si>
  <si>
    <t>HSBC100603</t>
  </si>
  <si>
    <t>HSBC100604</t>
  </si>
  <si>
    <t>HSBC100605</t>
  </si>
  <si>
    <t>HSBC100606</t>
  </si>
  <si>
    <t>HSBC100607</t>
  </si>
  <si>
    <t>HSBC100608</t>
  </si>
  <si>
    <t>HSBC100609</t>
  </si>
  <si>
    <t>HSBC100610</t>
  </si>
  <si>
    <t>HSBC100611</t>
  </si>
  <si>
    <t>Rahul Mondal</t>
  </si>
  <si>
    <t>HSBC100612</t>
  </si>
  <si>
    <t>Ananya Verma</t>
  </si>
  <si>
    <t>HSBC100613</t>
  </si>
  <si>
    <t>HSBC100614</t>
  </si>
  <si>
    <t>HSBC100615</t>
  </si>
  <si>
    <t>HSBC100616</t>
  </si>
  <si>
    <t>HSBC100617</t>
  </si>
  <si>
    <t>HSBC100618</t>
  </si>
  <si>
    <t>Aditya Nair</t>
  </si>
  <si>
    <t>HSBC100619</t>
  </si>
  <si>
    <t>HSBC100620</t>
  </si>
  <si>
    <t>Pooja Gupta</t>
  </si>
  <si>
    <t>HSBC100621</t>
  </si>
  <si>
    <t>HSBC100622</t>
  </si>
  <si>
    <t>HSBC100623</t>
  </si>
  <si>
    <t>HSBC100624</t>
  </si>
  <si>
    <t>HSBC100625</t>
  </si>
  <si>
    <t>HSBC100626</t>
  </si>
  <si>
    <t>HSBC100627</t>
  </si>
  <si>
    <t>HSBC100628</t>
  </si>
  <si>
    <t>HSBC100629</t>
  </si>
  <si>
    <t>HSBC100630</t>
  </si>
  <si>
    <t>HSBC100631</t>
  </si>
  <si>
    <t>HSBC100632</t>
  </si>
  <si>
    <t>Pooja Sharma</t>
  </si>
  <si>
    <t>HSBC100633</t>
  </si>
  <si>
    <t>HSBC100634</t>
  </si>
  <si>
    <t>HSBC100635</t>
  </si>
  <si>
    <t>HSBC100636</t>
  </si>
  <si>
    <t>HSBC100637</t>
  </si>
  <si>
    <t>HSBC100638</t>
  </si>
  <si>
    <t>Sneha Sen</t>
  </si>
  <si>
    <t>HSBC100639</t>
  </si>
  <si>
    <t>HSBC100640</t>
  </si>
  <si>
    <t>Vivaan Roy</t>
  </si>
  <si>
    <t>HSBC100641</t>
  </si>
  <si>
    <t>Kavya Roy</t>
  </si>
  <si>
    <t>HSBC100642</t>
  </si>
  <si>
    <t>Sneha Khan</t>
  </si>
  <si>
    <t>HSBC100643</t>
  </si>
  <si>
    <t>Ishita Malhotra</t>
  </si>
  <si>
    <t>HSBC100644</t>
  </si>
  <si>
    <t>HSBC100645</t>
  </si>
  <si>
    <t>HSBC100646</t>
  </si>
  <si>
    <t>HSBC100647</t>
  </si>
  <si>
    <t>HSBC100648</t>
  </si>
  <si>
    <t>HSBC100649</t>
  </si>
  <si>
    <t>HSBC100650</t>
  </si>
  <si>
    <t>HSBC100651</t>
  </si>
  <si>
    <t>HSBC100652</t>
  </si>
  <si>
    <t>HSBC100653</t>
  </si>
  <si>
    <t>HSBC100654</t>
  </si>
  <si>
    <t>HSBC100655</t>
  </si>
  <si>
    <t>HSBC100656</t>
  </si>
  <si>
    <t>HSBC100657</t>
  </si>
  <si>
    <t>HSBC100658</t>
  </si>
  <si>
    <t>HSBC100659</t>
  </si>
  <si>
    <t>HSBC100660</t>
  </si>
  <si>
    <t>HSBC100661</t>
  </si>
  <si>
    <t>HSBC100662</t>
  </si>
  <si>
    <t>HSBC100663</t>
  </si>
  <si>
    <t>HSBC100664</t>
  </si>
  <si>
    <t>Arjun Patel</t>
  </si>
  <si>
    <t>HSBC100665</t>
  </si>
  <si>
    <t>HSBC100666</t>
  </si>
  <si>
    <t>Rohan Patel</t>
  </si>
  <si>
    <t>HSBC100667</t>
  </si>
  <si>
    <t>HSBC100668</t>
  </si>
  <si>
    <t>Varun Roy</t>
  </si>
  <si>
    <t>HSBC100669</t>
  </si>
  <si>
    <t>HSBC100670</t>
  </si>
  <si>
    <t>HSBC100671</t>
  </si>
  <si>
    <t>HSBC100672</t>
  </si>
  <si>
    <t>HSBC100673</t>
  </si>
  <si>
    <t>HSBC100674</t>
  </si>
  <si>
    <t>HSBC100675</t>
  </si>
  <si>
    <t>Rohan Nair</t>
  </si>
  <si>
    <t>HSBC100676</t>
  </si>
  <si>
    <t>HSBC100677</t>
  </si>
  <si>
    <t>HSBC100678</t>
  </si>
  <si>
    <t>HSBC100679</t>
  </si>
  <si>
    <t>HSBC100680</t>
  </si>
  <si>
    <t>HSBC100681</t>
  </si>
  <si>
    <t>HSBC100682</t>
  </si>
  <si>
    <t>HSBC100683</t>
  </si>
  <si>
    <t>Sneha Malhotra</t>
  </si>
  <si>
    <t>HSBC100684</t>
  </si>
  <si>
    <t>HSBC100685</t>
  </si>
  <si>
    <t>HSBC100686</t>
  </si>
  <si>
    <t>HSBC100687</t>
  </si>
  <si>
    <t>HSBC100688</t>
  </si>
  <si>
    <t>HSBC100689</t>
  </si>
  <si>
    <t>HSBC100690</t>
  </si>
  <si>
    <t>HSBC100691</t>
  </si>
  <si>
    <t>HSBC100692</t>
  </si>
  <si>
    <t>HSBC100693</t>
  </si>
  <si>
    <t>HSBC100694</t>
  </si>
  <si>
    <t>HSBC100695</t>
  </si>
  <si>
    <t>HSBC100696</t>
  </si>
  <si>
    <t>HSBC100697</t>
  </si>
  <si>
    <t>HSBC100698</t>
  </si>
  <si>
    <t>HSBC100699</t>
  </si>
  <si>
    <t>HSBC100700</t>
  </si>
  <si>
    <t>HSBC100701</t>
  </si>
  <si>
    <t>Amit Banerjee</t>
  </si>
  <si>
    <t>HSBC100702</t>
  </si>
  <si>
    <t>HSBC100703</t>
  </si>
  <si>
    <t>HSBC100704</t>
  </si>
  <si>
    <t>HSBC100705</t>
  </si>
  <si>
    <t>HSBC100706</t>
  </si>
  <si>
    <t>HSBC100707</t>
  </si>
  <si>
    <t>HSBC100708</t>
  </si>
  <si>
    <t>HSBC100709</t>
  </si>
  <si>
    <t>HSBC100710</t>
  </si>
  <si>
    <t>HSBC100711</t>
  </si>
  <si>
    <t>HSBC100712</t>
  </si>
  <si>
    <t>HSBC100713</t>
  </si>
  <si>
    <t>HSBC100714</t>
  </si>
  <si>
    <t>HSBC100715</t>
  </si>
  <si>
    <t>Sanjay Sen</t>
  </si>
  <si>
    <t>HSBC100716</t>
  </si>
  <si>
    <t>HSBC100717</t>
  </si>
  <si>
    <t>Vikram Banerjee</t>
  </si>
  <si>
    <t>HSBC100718</t>
  </si>
  <si>
    <t>HSBC100719</t>
  </si>
  <si>
    <t>HSBC100720</t>
  </si>
  <si>
    <t>HSBC100721</t>
  </si>
  <si>
    <t>HSBC100722</t>
  </si>
  <si>
    <t>HSBC100723</t>
  </si>
  <si>
    <t>HSBC100724</t>
  </si>
  <si>
    <t>HSBC100725</t>
  </si>
  <si>
    <t>HSBC100726</t>
  </si>
  <si>
    <t>HSBC100727</t>
  </si>
  <si>
    <t>HSBC100728</t>
  </si>
  <si>
    <t>HSBC100729</t>
  </si>
  <si>
    <t>HSBC100730</t>
  </si>
  <si>
    <t>HSBC100731</t>
  </si>
  <si>
    <t>HSBC100732</t>
  </si>
  <si>
    <t>HSBC100733</t>
  </si>
  <si>
    <t>HSBC100734</t>
  </si>
  <si>
    <t>HSBC100735</t>
  </si>
  <si>
    <t>HSBC100736</t>
  </si>
  <si>
    <t>HSBC100737</t>
  </si>
  <si>
    <t>HSBC100738</t>
  </si>
  <si>
    <t>HSBC100739</t>
  </si>
  <si>
    <t>HSBC100740</t>
  </si>
  <si>
    <t>HSBC100741</t>
  </si>
  <si>
    <t>Meera Malhotra</t>
  </si>
  <si>
    <t>HSBC100742</t>
  </si>
  <si>
    <t>HSBC100743</t>
  </si>
  <si>
    <t>Priya Verma</t>
  </si>
  <si>
    <t>HSBC100744</t>
  </si>
  <si>
    <t>HSBC100745</t>
  </si>
  <si>
    <t>HSBC100746</t>
  </si>
  <si>
    <t>HSBC100747</t>
  </si>
  <si>
    <t>HSBC100748</t>
  </si>
  <si>
    <t>HSBC100749</t>
  </si>
  <si>
    <t>HSBC100750</t>
  </si>
  <si>
    <t>HSBC100751</t>
  </si>
  <si>
    <t>HSBC100752</t>
  </si>
  <si>
    <t>HSBC100753</t>
  </si>
  <si>
    <t>HSBC100754</t>
  </si>
  <si>
    <t>HSBC100755</t>
  </si>
  <si>
    <t>HSBC100756</t>
  </si>
  <si>
    <t>HSBC100757</t>
  </si>
  <si>
    <t>HSBC100758</t>
  </si>
  <si>
    <t>HSBC100759</t>
  </si>
  <si>
    <t>HSBC100760</t>
  </si>
  <si>
    <t>HSBC100761</t>
  </si>
  <si>
    <t>HSBC100762</t>
  </si>
  <si>
    <t>Karan Patel</t>
  </si>
  <si>
    <t>HSBC100763</t>
  </si>
  <si>
    <t>HSBC100764</t>
  </si>
  <si>
    <t>HSBC100765</t>
  </si>
  <si>
    <t>Ananya Singh</t>
  </si>
  <si>
    <t>HSBC100766</t>
  </si>
  <si>
    <t>HSBC100767</t>
  </si>
  <si>
    <t>HSBC100768</t>
  </si>
  <si>
    <t>HSBC100769</t>
  </si>
  <si>
    <t>HSBC100770</t>
  </si>
  <si>
    <t>HSBC100771</t>
  </si>
  <si>
    <t>HSBC100772</t>
  </si>
  <si>
    <t>HSBC100773</t>
  </si>
  <si>
    <t>HSBC100774</t>
  </si>
  <si>
    <t>HSBC100775</t>
  </si>
  <si>
    <t>HSBC100776</t>
  </si>
  <si>
    <t>HSBC100777</t>
  </si>
  <si>
    <t>HSBC100778</t>
  </si>
  <si>
    <t>HSBC100779</t>
  </si>
  <si>
    <t>HSBC100780</t>
  </si>
  <si>
    <t>HSBC100781</t>
  </si>
  <si>
    <t>HSBC100782</t>
  </si>
  <si>
    <t>HSBC100783</t>
  </si>
  <si>
    <t>HSBC100784</t>
  </si>
  <si>
    <t>Vikram Mondal</t>
  </si>
  <si>
    <t>HSBC100785</t>
  </si>
  <si>
    <t>Priya Das</t>
  </si>
  <si>
    <t>HSBC100786</t>
  </si>
  <si>
    <t>HSBC100787</t>
  </si>
  <si>
    <t>Priya Sen</t>
  </si>
  <si>
    <t>HSBC100788</t>
  </si>
  <si>
    <t>HSBC100789</t>
  </si>
  <si>
    <t>HSBC100790</t>
  </si>
  <si>
    <t>HSBC100791</t>
  </si>
  <si>
    <t>HSBC100792</t>
  </si>
  <si>
    <t>HSBC100793</t>
  </si>
  <si>
    <t>HSBC100794</t>
  </si>
  <si>
    <t>HSBC100795</t>
  </si>
  <si>
    <t>HSBC100796</t>
  </si>
  <si>
    <t>HSBC100797</t>
  </si>
  <si>
    <t>Varun Chatterjee</t>
  </si>
  <si>
    <t>HSBC100798</t>
  </si>
  <si>
    <t>Meera Mondal</t>
  </si>
  <si>
    <t>HSBC100799</t>
  </si>
  <si>
    <t>Rahul Mehta</t>
  </si>
  <si>
    <t>HSBC100800</t>
  </si>
  <si>
    <t>HSBC100801</t>
  </si>
  <si>
    <t>HSBC100802</t>
  </si>
  <si>
    <t>HSBC100803</t>
  </si>
  <si>
    <t>HSBC100804</t>
  </si>
  <si>
    <t>HSBC100805</t>
  </si>
  <si>
    <t>HSBC100806</t>
  </si>
  <si>
    <t>Vikram Patel</t>
  </si>
  <si>
    <t>HSBC100807</t>
  </si>
  <si>
    <t>HSBC100808</t>
  </si>
  <si>
    <t>HSBC100809</t>
  </si>
  <si>
    <t>HSBC100810</t>
  </si>
  <si>
    <t>HSBC100811</t>
  </si>
  <si>
    <t>HSBC100812</t>
  </si>
  <si>
    <t>HSBC100813</t>
  </si>
  <si>
    <t>HSBC100814</t>
  </si>
  <si>
    <t>HSBC100815</t>
  </si>
  <si>
    <t>HSBC100816</t>
  </si>
  <si>
    <t>HSBC100817</t>
  </si>
  <si>
    <t>HSBC100818</t>
  </si>
  <si>
    <t>HSBC100819</t>
  </si>
  <si>
    <t>HSBC100820</t>
  </si>
  <si>
    <t>HSBC100821</t>
  </si>
  <si>
    <t>HSBC100822</t>
  </si>
  <si>
    <t>HSBC100823</t>
  </si>
  <si>
    <t>HSBC100824</t>
  </si>
  <si>
    <t>HSBC100825</t>
  </si>
  <si>
    <t>HSBC100826</t>
  </si>
  <si>
    <t>HSBC100827</t>
  </si>
  <si>
    <t>HSBC100828</t>
  </si>
  <si>
    <t>HSBC100829</t>
  </si>
  <si>
    <t>HSBC100830</t>
  </si>
  <si>
    <t>HSBC100831</t>
  </si>
  <si>
    <t>HSBC100832</t>
  </si>
  <si>
    <t>HSBC100833</t>
  </si>
  <si>
    <t>HSBC100834</t>
  </si>
  <si>
    <t>HSBC100835</t>
  </si>
  <si>
    <t>HSBC100836</t>
  </si>
  <si>
    <t>HSBC100837</t>
  </si>
  <si>
    <t>HSBC100838</t>
  </si>
  <si>
    <t>HSBC100839</t>
  </si>
  <si>
    <t>HSBC100840</t>
  </si>
  <si>
    <t>HSBC100841</t>
  </si>
  <si>
    <t>HSBC100842</t>
  </si>
  <si>
    <t>HSBC100843</t>
  </si>
  <si>
    <t>HSBC100844</t>
  </si>
  <si>
    <t>HSBC100845</t>
  </si>
  <si>
    <t>HSBC100846</t>
  </si>
  <si>
    <t>HSBC100847</t>
  </si>
  <si>
    <t>HSBC100848</t>
  </si>
  <si>
    <t>HSBC100849</t>
  </si>
  <si>
    <t>HSBC100850</t>
  </si>
  <si>
    <t>HSBC100851</t>
  </si>
  <si>
    <t>HSBC100852</t>
  </si>
  <si>
    <t>HSBC100853</t>
  </si>
  <si>
    <t>HSBC100854</t>
  </si>
  <si>
    <t>HSBC100855</t>
  </si>
  <si>
    <t>HSBC100856</t>
  </si>
  <si>
    <t>HSBC100857</t>
  </si>
  <si>
    <t>HSBC100858</t>
  </si>
  <si>
    <t>HSBC100859</t>
  </si>
  <si>
    <t>Ishita Khan</t>
  </si>
  <si>
    <t>HSBC100860</t>
  </si>
  <si>
    <t>HSBC100861</t>
  </si>
  <si>
    <t>HSBC100862</t>
  </si>
  <si>
    <t>HSBC100863</t>
  </si>
  <si>
    <t>HSBC100864</t>
  </si>
  <si>
    <t>HSBC100865</t>
  </si>
  <si>
    <t>HSBC100866</t>
  </si>
  <si>
    <t>HSBC100867</t>
  </si>
  <si>
    <t>HSBC100868</t>
  </si>
  <si>
    <t>HSBC100869</t>
  </si>
  <si>
    <t>HSBC100870</t>
  </si>
  <si>
    <t>HSBC100871</t>
  </si>
  <si>
    <t>HSBC100872</t>
  </si>
  <si>
    <t>HSBC100873</t>
  </si>
  <si>
    <t>HSBC100874</t>
  </si>
  <si>
    <t>HSBC100875</t>
  </si>
  <si>
    <t>HSBC100876</t>
  </si>
  <si>
    <t>HSBC100877</t>
  </si>
  <si>
    <t>HSBC100878</t>
  </si>
  <si>
    <t>HSBC100879</t>
  </si>
  <si>
    <t>HSBC100880</t>
  </si>
  <si>
    <t>HSBC100881</t>
  </si>
  <si>
    <t>HSBC100882</t>
  </si>
  <si>
    <t>HSBC100883</t>
  </si>
  <si>
    <t>HSBC100884</t>
  </si>
  <si>
    <t>Rohan Banerjee</t>
  </si>
  <si>
    <t>HSBC100885</t>
  </si>
  <si>
    <t>HSBC100886</t>
  </si>
  <si>
    <t>HSBC100887</t>
  </si>
  <si>
    <t>HSBC100888</t>
  </si>
  <si>
    <t>HSBC100889</t>
  </si>
  <si>
    <t>HSBC100890</t>
  </si>
  <si>
    <t>HSBC100891</t>
  </si>
  <si>
    <t>HSBC100892</t>
  </si>
  <si>
    <t>HSBC100893</t>
  </si>
  <si>
    <t>HSBC100894</t>
  </si>
  <si>
    <t>HSBC100895</t>
  </si>
  <si>
    <t>HSBC100896</t>
  </si>
  <si>
    <t>HSBC100897</t>
  </si>
  <si>
    <t>HSBC100898</t>
  </si>
  <si>
    <t>HSBC100899</t>
  </si>
  <si>
    <t>HSBC100900</t>
  </si>
  <si>
    <t>HSBC100901</t>
  </si>
  <si>
    <t>HSBC100902</t>
  </si>
  <si>
    <t>HSBC100903</t>
  </si>
  <si>
    <t>HSBC100904</t>
  </si>
  <si>
    <t>HSBC100905</t>
  </si>
  <si>
    <t>Rohan Das</t>
  </si>
  <si>
    <t>HSBC100906</t>
  </si>
  <si>
    <t>HSBC100907</t>
  </si>
  <si>
    <t>HSBC100908</t>
  </si>
  <si>
    <t>HSBC100909</t>
  </si>
  <si>
    <t>HSBC100910</t>
  </si>
  <si>
    <t>HSBC100911</t>
  </si>
  <si>
    <t>HSBC100912</t>
  </si>
  <si>
    <t>HSBC100913</t>
  </si>
  <si>
    <t>HSBC100914</t>
  </si>
  <si>
    <t>HSBC100915</t>
  </si>
  <si>
    <t>HSBC100916</t>
  </si>
  <si>
    <t>HSBC100917</t>
  </si>
  <si>
    <t>HSBC100918</t>
  </si>
  <si>
    <t>HSBC100919</t>
  </si>
  <si>
    <t>HSBC100920</t>
  </si>
  <si>
    <t>HSBC100921</t>
  </si>
  <si>
    <t>HSBC100922</t>
  </si>
  <si>
    <t>HSBC100923</t>
  </si>
  <si>
    <t>HSBC100924</t>
  </si>
  <si>
    <t>HSBC100925</t>
  </si>
  <si>
    <t>HSBC100926</t>
  </si>
  <si>
    <t>HSBC100927</t>
  </si>
  <si>
    <t>HSBC100928</t>
  </si>
  <si>
    <t>HSBC100929</t>
  </si>
  <si>
    <t>HSBC100930</t>
  </si>
  <si>
    <t>HSBC100931</t>
  </si>
  <si>
    <t>HSBC100932</t>
  </si>
  <si>
    <t>HSBC100933</t>
  </si>
  <si>
    <t>HSBC100934</t>
  </si>
  <si>
    <t>Amit Chatterjee</t>
  </si>
  <si>
    <t>HSBC100935</t>
  </si>
  <si>
    <t>HSBC100936</t>
  </si>
  <si>
    <t>HSBC100937</t>
  </si>
  <si>
    <t>HSBC100938</t>
  </si>
  <si>
    <t>HSBC100939</t>
  </si>
  <si>
    <t>HSBC100940</t>
  </si>
  <si>
    <t>HSBC100941</t>
  </si>
  <si>
    <t>HSBC100942</t>
  </si>
  <si>
    <t>HSBC100943</t>
  </si>
  <si>
    <t>HSBC100944</t>
  </si>
  <si>
    <t>HSBC100945</t>
  </si>
  <si>
    <t>HSBC100946</t>
  </si>
  <si>
    <t>HSBC100947</t>
  </si>
  <si>
    <t>HSBC100948</t>
  </si>
  <si>
    <t>HSBC100949</t>
  </si>
  <si>
    <t>HSBC100950</t>
  </si>
  <si>
    <t>HSBC100951</t>
  </si>
  <si>
    <t>HSBC100952</t>
  </si>
  <si>
    <t>HSBC100953</t>
  </si>
  <si>
    <t>HSBC100954</t>
  </si>
  <si>
    <t>HSBC100955</t>
  </si>
  <si>
    <t>HSBC100956</t>
  </si>
  <si>
    <t>HSBC100957</t>
  </si>
  <si>
    <t>HSBC100958</t>
  </si>
  <si>
    <t>HSBC100959</t>
  </si>
  <si>
    <t>HSBC100960</t>
  </si>
  <si>
    <t>HSBC100961</t>
  </si>
  <si>
    <t>HSBC100962</t>
  </si>
  <si>
    <t>HSBC100963</t>
  </si>
  <si>
    <t>HSBC100964</t>
  </si>
  <si>
    <t>HSBC100965</t>
  </si>
  <si>
    <t>HSBC100966</t>
  </si>
  <si>
    <t>HSBC100967</t>
  </si>
  <si>
    <t>HSBC100968</t>
  </si>
  <si>
    <t>HSBC100969</t>
  </si>
  <si>
    <t>HSBC100970</t>
  </si>
  <si>
    <t>HSBC100971</t>
  </si>
  <si>
    <t>HSBC100972</t>
  </si>
  <si>
    <t>HSBC100973</t>
  </si>
  <si>
    <t>HSBC100974</t>
  </si>
  <si>
    <t>HSBC100975</t>
  </si>
  <si>
    <t>HSBC100976</t>
  </si>
  <si>
    <t>HSBC100977</t>
  </si>
  <si>
    <t>HSBC100978</t>
  </si>
  <si>
    <t>HSBC100979</t>
  </si>
  <si>
    <t>HSBC100980</t>
  </si>
  <si>
    <t>HSBC100981</t>
  </si>
  <si>
    <t>HSBC100982</t>
  </si>
  <si>
    <t>HSBC100983</t>
  </si>
  <si>
    <t>HSBC100984</t>
  </si>
  <si>
    <t>HSBC100985</t>
  </si>
  <si>
    <t>HSBC100986</t>
  </si>
  <si>
    <t>HSBC100987</t>
  </si>
  <si>
    <t>HSBC100988</t>
  </si>
  <si>
    <t>HSBC100989</t>
  </si>
  <si>
    <t>HSBC100990</t>
  </si>
  <si>
    <t>HSBC100991</t>
  </si>
  <si>
    <t>HSBC100992</t>
  </si>
  <si>
    <t>HSBC100993</t>
  </si>
  <si>
    <t>HSBC100994</t>
  </si>
  <si>
    <t>HSBC100995</t>
  </si>
  <si>
    <t>HSBC100996</t>
  </si>
  <si>
    <t>HSBC100997</t>
  </si>
  <si>
    <t>HSBC100998</t>
  </si>
  <si>
    <t>HSBC100999</t>
  </si>
  <si>
    <t>HSBC101000</t>
  </si>
  <si>
    <t>ID</t>
  </si>
  <si>
    <r>
      <t xml:space="preserve">What is the </t>
    </r>
    <r>
      <rPr>
        <b/>
        <sz val="11"/>
        <color theme="1"/>
        <rFont val="Calibri"/>
        <family val="2"/>
        <scheme val="minor"/>
      </rPr>
      <t>overall customer and transaction performance</t>
    </r>
    <r>
      <rPr>
        <sz val="11"/>
        <color theme="1"/>
        <rFont val="Calibri"/>
        <family val="2"/>
        <scheme val="minor"/>
      </rPr>
      <t>?</t>
    </r>
  </si>
  <si>
    <t>Total customer</t>
  </si>
  <si>
    <t>Total Transaction Amount</t>
  </si>
  <si>
    <r>
      <t xml:space="preserve">Which </t>
    </r>
    <r>
      <rPr>
        <b/>
        <sz val="11"/>
        <color theme="1"/>
        <rFont val="Calibri"/>
        <family val="2"/>
        <scheme val="minor"/>
      </rPr>
      <t>Customer Segments</t>
    </r>
    <r>
      <rPr>
        <sz val="11"/>
        <color theme="1"/>
        <rFont val="Calibri"/>
        <family val="2"/>
        <scheme val="minor"/>
      </rPr>
      <t xml:space="preserve"> generate the highest transaction amount?</t>
    </r>
  </si>
  <si>
    <t>Row Labels</t>
  </si>
  <si>
    <t>Grand Total</t>
  </si>
  <si>
    <t>Sum of Transaction_Amount_INR</t>
  </si>
  <si>
    <r>
      <t xml:space="preserve">Which </t>
    </r>
    <r>
      <rPr>
        <b/>
        <sz val="11"/>
        <color theme="1"/>
        <rFont val="Calibri"/>
        <family val="2"/>
        <scheme val="minor"/>
      </rPr>
      <t>Account Types</t>
    </r>
    <r>
      <rPr>
        <sz val="11"/>
        <color theme="1"/>
        <rFont val="Calibri"/>
        <family val="2"/>
        <scheme val="minor"/>
      </rPr>
      <t xml:space="preserve"> have the most customers and highest transaction value?</t>
    </r>
  </si>
  <si>
    <r>
      <t xml:space="preserve">Which </t>
    </r>
    <r>
      <rPr>
        <b/>
        <sz val="11"/>
        <color theme="1"/>
        <rFont val="Calibri"/>
        <family val="2"/>
        <scheme val="minor"/>
      </rPr>
      <t>cities</t>
    </r>
    <r>
      <rPr>
        <sz val="11"/>
        <color theme="1"/>
        <rFont val="Calibri"/>
        <family val="2"/>
        <scheme val="minor"/>
      </rPr>
      <t xml:space="preserve"> have the highest number of customers and transaction amounts?</t>
    </r>
  </si>
  <si>
    <r>
      <t xml:space="preserve">Which </t>
    </r>
    <r>
      <rPr>
        <b/>
        <sz val="11"/>
        <color theme="1"/>
        <rFont val="Calibri"/>
        <family val="2"/>
        <scheme val="minor"/>
      </rPr>
      <t>Products</t>
    </r>
    <r>
      <rPr>
        <sz val="11"/>
        <color theme="1"/>
        <rFont val="Calibri"/>
        <family val="2"/>
        <scheme val="minor"/>
      </rPr>
      <t xml:space="preserve"> are most popular and generate the highest transaction value?</t>
    </r>
  </si>
  <si>
    <t>(blank)</t>
  </si>
  <si>
    <r>
      <t xml:space="preserve">Which </t>
    </r>
    <r>
      <rPr>
        <b/>
        <sz val="11"/>
        <color theme="1"/>
        <rFont val="Calibri"/>
        <family val="2"/>
        <scheme val="minor"/>
      </rPr>
      <t>Employment Types</t>
    </r>
    <r>
      <rPr>
        <sz val="11"/>
        <color theme="1"/>
        <rFont val="Calibri"/>
        <family val="2"/>
        <scheme val="minor"/>
      </rPr>
      <t xml:space="preserve"> have the highest average annual income and transaction value?</t>
    </r>
  </si>
  <si>
    <t>Sum of Transaction Amount</t>
  </si>
  <si>
    <r>
      <t xml:space="preserve">Which </t>
    </r>
    <r>
      <rPr>
        <b/>
        <sz val="11"/>
        <color theme="1"/>
        <rFont val="Calibri"/>
        <family val="2"/>
        <scheme val="minor"/>
      </rPr>
      <t>Transaction Channels</t>
    </r>
    <r>
      <rPr>
        <sz val="11"/>
        <color theme="1"/>
        <rFont val="Calibri"/>
        <family val="2"/>
        <scheme val="minor"/>
      </rPr>
      <t xml:space="preserve"> are used most frequently and generate the highest transaction amount?</t>
    </r>
  </si>
  <si>
    <r>
      <t xml:space="preserve">What is the distribution of customers by </t>
    </r>
    <r>
      <rPr>
        <b/>
        <sz val="11"/>
        <color theme="1"/>
        <rFont val="Calibri"/>
        <family val="2"/>
        <scheme val="minor"/>
      </rPr>
      <t>Customer Status</t>
    </r>
    <r>
      <rPr>
        <sz val="11"/>
        <color theme="1"/>
        <rFont val="Calibri"/>
        <family val="2"/>
        <scheme val="minor"/>
      </rPr>
      <t xml:space="preserve"> (Active/Inactive/etc.)?</t>
    </r>
  </si>
  <si>
    <t>Average annual income</t>
  </si>
  <si>
    <t>Average transaction value</t>
  </si>
  <si>
    <t>Average Transaction Amount</t>
  </si>
  <si>
    <t xml:space="preserve">Average Annual Income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</si>
</sst>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00"/>
    <numFmt numFmtId="166" formatCode="\₹#,##0"/>
  </numFmts>
  <fonts count="4" x14ac:knownFonts="1">
    <font>
      <sz val="11"/>
      <color theme="1"/>
      <name val="Calibri"/>
      <family val="2"/>
      <scheme val="minor"/>
    </font>
    <font>
      <b/>
      <sz val="11"/>
      <color rgb="FFFFFFFF"/>
      <name val="Calibri"/>
      <family val="2"/>
    </font>
    <font>
      <b/>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rgb="FF1F4E78"/>
      </patternFill>
    </fill>
    <fill>
      <patternFill patternType="solid">
        <fgColor theme="4"/>
        <bgColor theme="4"/>
      </patternFill>
    </fill>
  </fills>
  <borders count="3">
    <border>
      <left/>
      <right/>
      <top/>
      <bottom/>
      <diagonal/>
    </border>
    <border>
      <left style="thin">
        <color auto="1"/>
      </left>
      <right style="thin">
        <color auto="1"/>
      </right>
      <top style="thin">
        <color auto="1"/>
      </top>
      <bottom style="thin">
        <color auto="1"/>
      </bottom>
      <diagonal/>
    </border>
    <border>
      <left style="thin">
        <color theme="0"/>
      </left>
      <right style="thin">
        <color theme="0"/>
      </right>
      <top/>
      <bottom style="thick">
        <color theme="0"/>
      </bottom>
      <diagonal/>
    </border>
  </borders>
  <cellStyleXfs count="1">
    <xf numFmtId="0" fontId="0" fillId="0" borderId="0"/>
  </cellStyleXfs>
  <cellXfs count="9">
    <xf numFmtId="0" fontId="0" fillId="0" borderId="0" xfId="0"/>
    <xf numFmtId="0" fontId="1" fillId="2" borderId="1" xfId="0" applyFont="1" applyFill="1" applyBorder="1" applyAlignment="1">
      <alignment horizontal="center"/>
    </xf>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2" fillId="0" borderId="0" xfId="0" applyFont="1"/>
    <xf numFmtId="0" fontId="3" fillId="3" borderId="2" xfId="0" applyFont="1" applyFill="1" applyBorder="1"/>
  </cellXfs>
  <cellStyles count="1">
    <cellStyle name="Normal" xfId="0" builtinId="0"/>
  </cellStyles>
  <dxfs count="14">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
      <numFmt numFmtId="166" formatCode="\₹#,##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[HSBC BANK DASHBOARD.xltx]Pivot Table!PivotTable3</c:name>
    <c:fmtId val="9"/>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CITY WISE TRANSACTION</a:t>
            </a:r>
            <a:r>
              <a:rPr lang="en-US" baseline="0"/>
              <a:t> VALUE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dLbl>
          <c:idx val="0"/>
          <c:layout>
            <c:manualLayout>
              <c:x val="1.6501650165016502E-3"/>
              <c:y val="-0.216310199597143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dLbl>
          <c:idx val="0"/>
          <c:layout>
            <c:manualLayout>
              <c:x val="1.6501650165016502E-3"/>
              <c:y val="-0.244646127082951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dLbl>
          <c:idx val="0"/>
          <c:layout>
            <c:manualLayout>
              <c:x val="3.30033003300327E-3"/>
              <c:y val="-0.2501357352133308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4.9504950495049506E-3"/>
              <c:y val="-0.233269776597692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dLbl>
          <c:idx val="0"/>
          <c:layout>
            <c:manualLayout>
              <c:x val="1.6501650165016502E-3"/>
              <c:y val="-0.347030305804797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6.0505351642075217E-17"/>
              <c:y val="-0.217912699139351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dLbl>
          <c:idx val="0"/>
          <c:layout>
            <c:manualLayout>
              <c:x val="0"/>
              <c:y val="-0.2736380699505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dLbl>
          <c:idx val="0"/>
          <c:layout>
            <c:manualLayout>
              <c:x val="-3.3003300330033004E-3"/>
              <c:y val="-0.227007874015748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dLbl>
          <c:idx val="0"/>
          <c:layout>
            <c:manualLayout>
              <c:x val="4.9504950495049506E-3"/>
              <c:y val="-0.23006981322102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dLbl>
          <c:idx val="0"/>
          <c:layout>
            <c:manualLayout>
              <c:x val="-1.6501650165016502E-3"/>
              <c:y val="-0.306578007690899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dLbl>
          <c:idx val="0"/>
          <c:layout>
            <c:manualLayout>
              <c:x val="0"/>
              <c:y val="-0.220514328877495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0000"/>
          </a:solidFill>
          <a:ln>
            <a:noFill/>
          </a:ln>
          <a:effectLst/>
        </c:spPr>
        <c:dLbl>
          <c:idx val="0"/>
          <c:layout>
            <c:manualLayout>
              <c:x val="1.6501650165016502E-3"/>
              <c:y val="-0.21801364219007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c:spPr>
        <c:dLbl>
          <c:idx val="0"/>
          <c:layout>
            <c:manualLayout>
              <c:x val="1.6501650165016502E-3"/>
              <c:y val="-0.216310199597143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0000"/>
          </a:solidFill>
          <a:ln>
            <a:noFill/>
          </a:ln>
          <a:effectLst/>
        </c:spPr>
        <c:dLbl>
          <c:idx val="0"/>
          <c:layout>
            <c:manualLayout>
              <c:x val="1.6501650165016502E-3"/>
              <c:y val="-0.244646127082951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dLbl>
          <c:idx val="0"/>
          <c:layout>
            <c:manualLayout>
              <c:x val="3.30033003300327E-3"/>
              <c:y val="-0.2501357352133308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0000"/>
          </a:solidFill>
          <a:ln>
            <a:noFill/>
          </a:ln>
          <a:effectLst/>
        </c:spPr>
        <c:dLbl>
          <c:idx val="0"/>
          <c:layout>
            <c:manualLayout>
              <c:x val="4.9504950495049506E-3"/>
              <c:y val="-0.233269776597692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a:noFill/>
          </a:ln>
          <a:effectLst/>
        </c:spPr>
        <c:dLbl>
          <c:idx val="0"/>
          <c:layout>
            <c:manualLayout>
              <c:x val="1.6501650165016502E-3"/>
              <c:y val="-0.347030305804797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0000"/>
          </a:solidFill>
          <a:ln>
            <a:noFill/>
          </a:ln>
          <a:effectLst/>
        </c:spPr>
        <c:dLbl>
          <c:idx val="0"/>
          <c:layout>
            <c:manualLayout>
              <c:x val="6.0505351642075217E-17"/>
              <c:y val="-0.217912699139351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0000"/>
          </a:solidFill>
          <a:ln>
            <a:noFill/>
          </a:ln>
          <a:effectLst/>
        </c:spPr>
        <c:dLbl>
          <c:idx val="0"/>
          <c:layout>
            <c:manualLayout>
              <c:x val="0"/>
              <c:y val="-0.27363806995055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dLbl>
          <c:idx val="0"/>
          <c:layout>
            <c:manualLayout>
              <c:x val="-3.3003300330033004E-3"/>
              <c:y val="-0.2270078740157480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0000"/>
          </a:solidFill>
          <a:ln>
            <a:noFill/>
          </a:ln>
          <a:effectLst/>
        </c:spPr>
        <c:dLbl>
          <c:idx val="0"/>
          <c:layout>
            <c:manualLayout>
              <c:x val="4.9504950495049506E-3"/>
              <c:y val="-0.23006981322102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0000"/>
          </a:solidFill>
          <a:ln>
            <a:noFill/>
          </a:ln>
          <a:effectLst/>
        </c:spPr>
        <c:dLbl>
          <c:idx val="0"/>
          <c:layout>
            <c:manualLayout>
              <c:x val="-1.6501650165016502E-3"/>
              <c:y val="-0.306578007690899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0000"/>
          </a:solidFill>
          <a:ln>
            <a:noFill/>
          </a:ln>
          <a:effectLst/>
        </c:spPr>
        <c:dLbl>
          <c:idx val="0"/>
          <c:layout>
            <c:manualLayout>
              <c:x val="0"/>
              <c:y val="-0.220514328877495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a:noFill/>
          </a:ln>
          <a:effectLst/>
        </c:spPr>
        <c:dLbl>
          <c:idx val="0"/>
          <c:layout>
            <c:manualLayout>
              <c:x val="1.6501650165016502E-3"/>
              <c:y val="-0.2180136421900750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rgbClr val="FF0000"/>
          </a:solidFill>
          <a:ln>
            <a:noFill/>
          </a:ln>
          <a:effectLst/>
        </c:spPr>
      </c:pivotFmt>
      <c:pivotFmt>
        <c:idx val="28"/>
        <c:spPr>
          <a:solidFill>
            <a:srgbClr val="FF0000"/>
          </a:solidFill>
          <a:ln>
            <a:noFill/>
          </a:ln>
          <a:effectLst/>
        </c:spPr>
      </c:pivotFmt>
      <c:pivotFmt>
        <c:idx val="29"/>
        <c:spPr>
          <a:solidFill>
            <a:srgbClr val="FF0000"/>
          </a:solidFill>
          <a:ln>
            <a:noFill/>
          </a:ln>
          <a:effectLst/>
        </c:spPr>
      </c:pivotFmt>
      <c:pivotFmt>
        <c:idx val="30"/>
        <c:spPr>
          <a:solidFill>
            <a:srgbClr val="FF0000"/>
          </a:solidFill>
          <a:ln>
            <a:noFill/>
          </a:ln>
          <a:effectLst/>
        </c:spPr>
      </c:pivotFmt>
      <c:pivotFmt>
        <c:idx val="31"/>
        <c:spPr>
          <a:solidFill>
            <a:srgbClr val="FF0000"/>
          </a:solidFill>
          <a:ln>
            <a:noFill/>
          </a:ln>
          <a:effectLst/>
        </c:spPr>
      </c:pivotFmt>
      <c:pivotFmt>
        <c:idx val="32"/>
        <c:spPr>
          <a:solidFill>
            <a:srgbClr val="FF0000"/>
          </a:solidFill>
          <a:ln>
            <a:noFill/>
          </a:ln>
          <a:effectLst/>
        </c:spPr>
      </c:pivotFmt>
      <c:pivotFmt>
        <c:idx val="33"/>
        <c:spPr>
          <a:solidFill>
            <a:srgbClr val="FF0000"/>
          </a:solidFill>
          <a:ln>
            <a:noFill/>
          </a:ln>
          <a:effectLst/>
        </c:spPr>
      </c:pivotFmt>
      <c:pivotFmt>
        <c:idx val="34"/>
        <c:spPr>
          <a:solidFill>
            <a:srgbClr val="FF0000"/>
          </a:solidFill>
          <a:ln>
            <a:noFill/>
          </a:ln>
          <a:effectLst/>
        </c:spPr>
      </c:pivotFmt>
      <c:pivotFmt>
        <c:idx val="35"/>
        <c:spPr>
          <a:solidFill>
            <a:srgbClr val="FF0000"/>
          </a:solidFill>
          <a:ln>
            <a:noFill/>
          </a:ln>
          <a:effectLst/>
        </c:spPr>
      </c:pivotFmt>
      <c:pivotFmt>
        <c:idx val="36"/>
        <c:spPr>
          <a:solidFill>
            <a:srgbClr val="FF0000"/>
          </a:solidFill>
          <a:ln>
            <a:noFill/>
          </a:ln>
          <a:effectLst/>
        </c:spPr>
      </c:pivotFmt>
      <c:pivotFmt>
        <c:idx val="37"/>
        <c:spPr>
          <a:solidFill>
            <a:srgbClr val="FF0000"/>
          </a:solidFill>
          <a:ln>
            <a:noFill/>
          </a:ln>
          <a:effectLst/>
        </c:spPr>
      </c:pivotFmt>
      <c:pivotFmt>
        <c:idx val="38"/>
        <c:spPr>
          <a:solidFill>
            <a:srgbClr val="FF0000"/>
          </a:solidFill>
          <a:ln>
            <a:noFill/>
          </a:ln>
          <a:effectLst/>
        </c:spPr>
      </c:pivotFmt>
    </c:pivotFmts>
    <c:plotArea>
      <c:layout/>
      <c:barChart>
        <c:barDir val="bar"/>
        <c:grouping val="clustered"/>
        <c:varyColors val="0"/>
        <c:ser>
          <c:idx val="0"/>
          <c:order val="0"/>
          <c:tx>
            <c:strRef>
              <c:f>'Pivot Table'!$B$40</c:f>
              <c:strCache>
                <c:ptCount val="1"/>
                <c:pt idx="0">
                  <c:v>Total</c:v>
                </c:pt>
              </c:strCache>
            </c:strRef>
          </c:tx>
          <c:spPr>
            <a:solidFill>
              <a:srgbClr val="FF0000"/>
            </a:solidFill>
            <a:ln>
              <a:noFill/>
            </a:ln>
            <a:effectLst/>
          </c:spPr>
          <c:invertIfNegative val="0"/>
          <c:dPt>
            <c:idx val="0"/>
            <c:invertIfNegative val="0"/>
            <c:bubble3D val="0"/>
            <c:extLst>
              <c:ext xmlns:c16="http://schemas.microsoft.com/office/drawing/2014/chart" uri="{C3380CC4-5D6E-409C-BE32-E72D297353CC}">
                <c16:uniqueId val="{00000000-E87E-C044-AF15-56D96A3D2B72}"/>
              </c:ext>
            </c:extLst>
          </c:dPt>
          <c:dPt>
            <c:idx val="1"/>
            <c:invertIfNegative val="0"/>
            <c:bubble3D val="0"/>
            <c:extLst>
              <c:ext xmlns:c16="http://schemas.microsoft.com/office/drawing/2014/chart" uri="{C3380CC4-5D6E-409C-BE32-E72D297353CC}">
                <c16:uniqueId val="{00000001-E87E-C044-AF15-56D96A3D2B72}"/>
              </c:ext>
            </c:extLst>
          </c:dPt>
          <c:dPt>
            <c:idx val="2"/>
            <c:invertIfNegative val="0"/>
            <c:bubble3D val="0"/>
            <c:extLst>
              <c:ext xmlns:c16="http://schemas.microsoft.com/office/drawing/2014/chart" uri="{C3380CC4-5D6E-409C-BE32-E72D297353CC}">
                <c16:uniqueId val="{00000002-E87E-C044-AF15-56D96A3D2B72}"/>
              </c:ext>
            </c:extLst>
          </c:dPt>
          <c:dPt>
            <c:idx val="3"/>
            <c:invertIfNegative val="0"/>
            <c:bubble3D val="0"/>
            <c:extLst>
              <c:ext xmlns:c16="http://schemas.microsoft.com/office/drawing/2014/chart" uri="{C3380CC4-5D6E-409C-BE32-E72D297353CC}">
                <c16:uniqueId val="{00000003-E87E-C044-AF15-56D96A3D2B72}"/>
              </c:ext>
            </c:extLst>
          </c:dPt>
          <c:dPt>
            <c:idx val="4"/>
            <c:invertIfNegative val="0"/>
            <c:bubble3D val="0"/>
            <c:extLst>
              <c:ext xmlns:c16="http://schemas.microsoft.com/office/drawing/2014/chart" uri="{C3380CC4-5D6E-409C-BE32-E72D297353CC}">
                <c16:uniqueId val="{00000004-E87E-C044-AF15-56D96A3D2B72}"/>
              </c:ext>
            </c:extLst>
          </c:dPt>
          <c:dPt>
            <c:idx val="5"/>
            <c:invertIfNegative val="0"/>
            <c:bubble3D val="0"/>
            <c:extLst>
              <c:ext xmlns:c16="http://schemas.microsoft.com/office/drawing/2014/chart" uri="{C3380CC4-5D6E-409C-BE32-E72D297353CC}">
                <c16:uniqueId val="{00000005-E87E-C044-AF15-56D96A3D2B72}"/>
              </c:ext>
            </c:extLst>
          </c:dPt>
          <c:dPt>
            <c:idx val="6"/>
            <c:invertIfNegative val="0"/>
            <c:bubble3D val="0"/>
            <c:extLst>
              <c:ext xmlns:c16="http://schemas.microsoft.com/office/drawing/2014/chart" uri="{C3380CC4-5D6E-409C-BE32-E72D297353CC}">
                <c16:uniqueId val="{00000006-E87E-C044-AF15-56D96A3D2B72}"/>
              </c:ext>
            </c:extLst>
          </c:dPt>
          <c:dPt>
            <c:idx val="7"/>
            <c:invertIfNegative val="0"/>
            <c:bubble3D val="0"/>
            <c:extLst>
              <c:ext xmlns:c16="http://schemas.microsoft.com/office/drawing/2014/chart" uri="{C3380CC4-5D6E-409C-BE32-E72D297353CC}">
                <c16:uniqueId val="{00000007-E87E-C044-AF15-56D96A3D2B72}"/>
              </c:ext>
            </c:extLst>
          </c:dPt>
          <c:dPt>
            <c:idx val="8"/>
            <c:invertIfNegative val="0"/>
            <c:bubble3D val="0"/>
            <c:extLst>
              <c:ext xmlns:c16="http://schemas.microsoft.com/office/drawing/2014/chart" uri="{C3380CC4-5D6E-409C-BE32-E72D297353CC}">
                <c16:uniqueId val="{00000008-E87E-C044-AF15-56D96A3D2B72}"/>
              </c:ext>
            </c:extLst>
          </c:dPt>
          <c:dPt>
            <c:idx val="9"/>
            <c:invertIfNegative val="0"/>
            <c:bubble3D val="0"/>
            <c:extLst>
              <c:ext xmlns:c16="http://schemas.microsoft.com/office/drawing/2014/chart" uri="{C3380CC4-5D6E-409C-BE32-E72D297353CC}">
                <c16:uniqueId val="{00000009-E87E-C044-AF15-56D96A3D2B72}"/>
              </c:ext>
            </c:extLst>
          </c:dPt>
          <c:dPt>
            <c:idx val="10"/>
            <c:invertIfNegative val="0"/>
            <c:bubble3D val="0"/>
            <c:extLst>
              <c:ext xmlns:c16="http://schemas.microsoft.com/office/drawing/2014/chart" uri="{C3380CC4-5D6E-409C-BE32-E72D297353CC}">
                <c16:uniqueId val="{0000000A-E87E-C044-AF15-56D96A3D2B72}"/>
              </c:ext>
            </c:extLst>
          </c:dPt>
          <c:dPt>
            <c:idx val="11"/>
            <c:invertIfNegative val="0"/>
            <c:bubble3D val="0"/>
            <c:extLst>
              <c:ext xmlns:c16="http://schemas.microsoft.com/office/drawing/2014/chart" uri="{C3380CC4-5D6E-409C-BE32-E72D297353CC}">
                <c16:uniqueId val="{0000000B-E87E-C044-AF15-56D96A3D2B72}"/>
              </c:ext>
            </c:extLst>
          </c:dPt>
          <c:cat>
            <c:strRef>
              <c:f>'Pivot Table'!$A$41:$A$53</c:f>
              <c:strCache>
                <c:ptCount val="12"/>
                <c:pt idx="0">
                  <c:v>Ahmedabad</c:v>
                </c:pt>
                <c:pt idx="1">
                  <c:v>Bengaluru</c:v>
                </c:pt>
                <c:pt idx="2">
                  <c:v>Bhubaneswar</c:v>
                </c:pt>
                <c:pt idx="3">
                  <c:v>Chennai</c:v>
                </c:pt>
                <c:pt idx="4">
                  <c:v>Delhi</c:v>
                </c:pt>
                <c:pt idx="5">
                  <c:v>Guwahati</c:v>
                </c:pt>
                <c:pt idx="6">
                  <c:v>Hyderabad</c:v>
                </c:pt>
                <c:pt idx="7">
                  <c:v>Jaipur</c:v>
                </c:pt>
                <c:pt idx="8">
                  <c:v>Kolkata</c:v>
                </c:pt>
                <c:pt idx="9">
                  <c:v>Lucknow</c:v>
                </c:pt>
                <c:pt idx="10">
                  <c:v>Mumbai</c:v>
                </c:pt>
                <c:pt idx="11">
                  <c:v>Pune</c:v>
                </c:pt>
              </c:strCache>
            </c:strRef>
          </c:cat>
          <c:val>
            <c:numRef>
              <c:f>'Pivot Table'!$B$41:$B$53</c:f>
              <c:numCache>
                <c:formatCode>\₹#,##0</c:formatCode>
                <c:ptCount val="12"/>
                <c:pt idx="0">
                  <c:v>992233.30999999982</c:v>
                </c:pt>
                <c:pt idx="1">
                  <c:v>1179023.5199999996</c:v>
                </c:pt>
                <c:pt idx="2">
                  <c:v>1193150.6699999997</c:v>
                </c:pt>
                <c:pt idx="3">
                  <c:v>1116798.06</c:v>
                </c:pt>
                <c:pt idx="4">
                  <c:v>1739036.19</c:v>
                </c:pt>
                <c:pt idx="5">
                  <c:v>1064600.5999999999</c:v>
                </c:pt>
                <c:pt idx="6">
                  <c:v>1274000.6599999999</c:v>
                </c:pt>
                <c:pt idx="7">
                  <c:v>1066647.5499999998</c:v>
                </c:pt>
                <c:pt idx="8">
                  <c:v>1115196.2600000002</c:v>
                </c:pt>
                <c:pt idx="9">
                  <c:v>1549574.7499999998</c:v>
                </c:pt>
                <c:pt idx="10">
                  <c:v>1062930.1500000004</c:v>
                </c:pt>
                <c:pt idx="11">
                  <c:v>1065152.4700000002</c:v>
                </c:pt>
              </c:numCache>
            </c:numRef>
          </c:val>
          <c:extLst>
            <c:ext xmlns:c16="http://schemas.microsoft.com/office/drawing/2014/chart" uri="{C3380CC4-5D6E-409C-BE32-E72D297353CC}">
              <c16:uniqueId val="{0000000C-E87E-C044-AF15-56D96A3D2B72}"/>
            </c:ext>
          </c:extLst>
        </c:ser>
        <c:dLbls>
          <c:showLegendKey val="0"/>
          <c:showVal val="0"/>
          <c:showCatName val="0"/>
          <c:showSerName val="0"/>
          <c:showPercent val="0"/>
          <c:showBubbleSize val="0"/>
        </c:dLbls>
        <c:gapWidth val="150"/>
        <c:axId val="1934653887"/>
        <c:axId val="1934646719"/>
      </c:barChart>
      <c:catAx>
        <c:axId val="19346538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CITIES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34646719"/>
        <c:crosses val="autoZero"/>
        <c:auto val="1"/>
        <c:lblAlgn val="ctr"/>
        <c:lblOffset val="100"/>
        <c:noMultiLvlLbl val="0"/>
      </c:catAx>
      <c:valAx>
        <c:axId val="193464671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TRANSACTIONS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34653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solidFill>
        <a:schemeClr val="bg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[HSBC BANK DASHBOARD.xltx]Pivot Table!PivotTable4</c:name>
    <c:fmtId val="1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TRANSACTION VALUE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dLbl>
          <c:idx val="0"/>
          <c:layout>
            <c:manualLayout>
              <c:x val="1.4461315979754157E-3"/>
              <c:y val="-0.301671714112659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dLbl>
          <c:idx val="0"/>
          <c:layout>
            <c:manualLayout>
              <c:x val="0"/>
              <c:y val="-0.22751194562218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dLbl>
          <c:idx val="0"/>
          <c:layout>
            <c:manualLayout>
              <c:x val="0"/>
              <c:y val="-0.2832068106871256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5.3024212718868518E-17"/>
              <c:y val="-0.313020391681809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dLbl>
          <c:idx val="0"/>
          <c:layout>
            <c:manualLayout>
              <c:x val="0"/>
              <c:y val="-0.220159499293357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1.4461315979754157E-3"/>
              <c:y val="-0.286677434551450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dLbl>
          <c:idx val="0"/>
          <c:layout>
            <c:manualLayout>
              <c:x val="1.4461315979753097E-3"/>
              <c:y val="-0.254368396258160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dLbl>
          <c:idx val="0"/>
          <c:layout>
            <c:manualLayout>
              <c:x val="0"/>
              <c:y val="-0.257993135473450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dLbl>
          <c:idx val="0"/>
          <c:layout>
            <c:manualLayout>
              <c:x val="1.4461315979754157E-3"/>
              <c:y val="-0.3016717141126590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dLbl>
          <c:idx val="0"/>
          <c:layout>
            <c:manualLayout>
              <c:x val="0"/>
              <c:y val="-0.227511945622181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0000"/>
          </a:solidFill>
          <a:ln>
            <a:noFill/>
          </a:ln>
          <a:effectLst/>
        </c:spPr>
        <c:dLbl>
          <c:idx val="0"/>
          <c:layout>
            <c:manualLayout>
              <c:x val="0"/>
              <c:y val="-0.2832068106871256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dLbl>
          <c:idx val="0"/>
          <c:layout>
            <c:manualLayout>
              <c:x val="-5.3024212718868518E-17"/>
              <c:y val="-0.3130203916818090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c:spPr>
        <c:dLbl>
          <c:idx val="0"/>
          <c:layout>
            <c:manualLayout>
              <c:x val="0"/>
              <c:y val="-0.220159499293357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0000"/>
          </a:solidFill>
          <a:ln>
            <a:noFill/>
          </a:ln>
          <a:effectLst/>
        </c:spPr>
        <c:dLbl>
          <c:idx val="0"/>
          <c:layout>
            <c:manualLayout>
              <c:x val="-1.4461315979754157E-3"/>
              <c:y val="-0.286677434551450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dLbl>
          <c:idx val="0"/>
          <c:layout>
            <c:manualLayout>
              <c:x val="1.4461315979753097E-3"/>
              <c:y val="-0.254368396258160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0000"/>
          </a:solidFill>
          <a:ln>
            <a:noFill/>
          </a:ln>
          <a:effectLst/>
        </c:spPr>
        <c:dLbl>
          <c:idx val="0"/>
          <c:layout>
            <c:manualLayout>
              <c:x val="0"/>
              <c:y val="-0.257993135473450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0000"/>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0000"/>
          </a:solidFill>
          <a:ln>
            <a:noFill/>
          </a:ln>
          <a:effectLst/>
        </c:spPr>
        <c:dLbl>
          <c:idx val="0"/>
          <c:layout>
            <c:manualLayout>
              <c:x val="-1.0790327929961799E-2"/>
              <c:y val="-0.2103738817693786"/>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0324829637388369"/>
                  <c:h val="7.51061935863091E-2"/>
                </c:manualLayout>
              </c15:layout>
            </c:ext>
          </c:extLst>
        </c:dLbl>
      </c:pivotFmt>
      <c:pivotFmt>
        <c:idx val="20"/>
        <c:spPr>
          <a:solidFill>
            <a:srgbClr val="FF0000"/>
          </a:solidFill>
          <a:ln>
            <a:noFill/>
          </a:ln>
          <a:effectLst/>
        </c:spPr>
        <c:dLbl>
          <c:idx val="0"/>
          <c:layout>
            <c:manualLayout>
              <c:x val="0"/>
              <c:y val="-0.22751194562218185"/>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dLbl>
          <c:idx val="0"/>
          <c:layout>
            <c:manualLayout>
              <c:x val="8.157621520191019E-3"/>
              <c:y val="-0.17579737692855796"/>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11140591789407468"/>
                  <c:h val="6.4365259421046733E-2"/>
                </c:manualLayout>
              </c15:layout>
            </c:ext>
          </c:extLst>
        </c:dLbl>
      </c:pivotFmt>
      <c:pivotFmt>
        <c:idx val="22"/>
        <c:spPr>
          <a:solidFill>
            <a:srgbClr val="FF0000"/>
          </a:solidFill>
          <a:ln>
            <a:noFill/>
          </a:ln>
          <a:effectLst/>
        </c:spPr>
        <c:dLbl>
          <c:idx val="0"/>
          <c:layout>
            <c:manualLayout>
              <c:x val="0"/>
              <c:y val="-0.21635201508805238"/>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F0000"/>
          </a:solidFill>
          <a:ln>
            <a:noFill/>
          </a:ln>
          <a:effectLst/>
        </c:spPr>
        <c:dLbl>
          <c:idx val="0"/>
          <c:layout>
            <c:manualLayout>
              <c:x val="0"/>
              <c:y val="-0.22015949929335757"/>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F0000"/>
          </a:solidFill>
          <a:ln>
            <a:noFill/>
          </a:ln>
          <a:effectLst/>
        </c:spPr>
        <c:dLbl>
          <c:idx val="0"/>
          <c:layout>
            <c:manualLayout>
              <c:x val="-1.4461315979754157E-3"/>
              <c:y val="-0.28667743455145034"/>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FF0000"/>
          </a:solidFill>
          <a:ln>
            <a:noFill/>
          </a:ln>
          <a:effectLst/>
        </c:spPr>
        <c:dLbl>
          <c:idx val="0"/>
          <c:layout>
            <c:manualLayout>
              <c:x val="1.4461315979753097E-3"/>
              <c:y val="-0.25436839625816005"/>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FF0000"/>
          </a:solidFill>
          <a:ln>
            <a:noFill/>
          </a:ln>
          <a:effectLst/>
        </c:spPr>
        <c:dLbl>
          <c:idx val="0"/>
          <c:layout>
            <c:manualLayout>
              <c:x val="0"/>
              <c:y val="-0.25799313547345043"/>
            </c:manualLayout>
          </c:layout>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Table'!$B$69</c:f>
              <c:strCache>
                <c:ptCount val="1"/>
                <c:pt idx="0">
                  <c:v>Total</c:v>
                </c:pt>
              </c:strCache>
            </c:strRef>
          </c:tx>
          <c:spPr>
            <a:solidFill>
              <a:srgbClr val="FF0000"/>
            </a:solidFill>
            <a:ln>
              <a:noFill/>
            </a:ln>
            <a:effectLst/>
          </c:spPr>
          <c:invertIfNegative val="0"/>
          <c:dPt>
            <c:idx val="0"/>
            <c:invertIfNegative val="0"/>
            <c:bubble3D val="0"/>
            <c:extLst>
              <c:ext xmlns:c16="http://schemas.microsoft.com/office/drawing/2014/chart" uri="{C3380CC4-5D6E-409C-BE32-E72D297353CC}">
                <c16:uniqueId val="{00000000-C734-1342-8442-29D14DEE815D}"/>
              </c:ext>
            </c:extLst>
          </c:dPt>
          <c:dPt>
            <c:idx val="1"/>
            <c:invertIfNegative val="0"/>
            <c:bubble3D val="0"/>
            <c:extLst>
              <c:ext xmlns:c16="http://schemas.microsoft.com/office/drawing/2014/chart" uri="{C3380CC4-5D6E-409C-BE32-E72D297353CC}">
                <c16:uniqueId val="{00000001-C734-1342-8442-29D14DEE815D}"/>
              </c:ext>
            </c:extLst>
          </c:dPt>
          <c:dPt>
            <c:idx val="2"/>
            <c:invertIfNegative val="0"/>
            <c:bubble3D val="0"/>
            <c:extLst>
              <c:ext xmlns:c16="http://schemas.microsoft.com/office/drawing/2014/chart" uri="{C3380CC4-5D6E-409C-BE32-E72D297353CC}">
                <c16:uniqueId val="{00000002-C734-1342-8442-29D14DEE815D}"/>
              </c:ext>
            </c:extLst>
          </c:dPt>
          <c:dPt>
            <c:idx val="3"/>
            <c:invertIfNegative val="0"/>
            <c:bubble3D val="0"/>
            <c:extLst>
              <c:ext xmlns:c16="http://schemas.microsoft.com/office/drawing/2014/chart" uri="{C3380CC4-5D6E-409C-BE32-E72D297353CC}">
                <c16:uniqueId val="{00000003-C734-1342-8442-29D14DEE815D}"/>
              </c:ext>
            </c:extLst>
          </c:dPt>
          <c:dPt>
            <c:idx val="4"/>
            <c:invertIfNegative val="0"/>
            <c:bubble3D val="0"/>
            <c:extLst>
              <c:ext xmlns:c16="http://schemas.microsoft.com/office/drawing/2014/chart" uri="{C3380CC4-5D6E-409C-BE32-E72D297353CC}">
                <c16:uniqueId val="{00000004-C734-1342-8442-29D14DEE815D}"/>
              </c:ext>
            </c:extLst>
          </c:dPt>
          <c:dPt>
            <c:idx val="5"/>
            <c:invertIfNegative val="0"/>
            <c:bubble3D val="0"/>
            <c:extLst>
              <c:ext xmlns:c16="http://schemas.microsoft.com/office/drawing/2014/chart" uri="{C3380CC4-5D6E-409C-BE32-E72D297353CC}">
                <c16:uniqueId val="{00000005-C734-1342-8442-29D14DEE815D}"/>
              </c:ext>
            </c:extLst>
          </c:dPt>
          <c:dPt>
            <c:idx val="6"/>
            <c:invertIfNegative val="0"/>
            <c:bubble3D val="0"/>
            <c:extLst>
              <c:ext xmlns:c16="http://schemas.microsoft.com/office/drawing/2014/chart" uri="{C3380CC4-5D6E-409C-BE32-E72D297353CC}">
                <c16:uniqueId val="{00000006-C734-1342-8442-29D14DEE815D}"/>
              </c:ext>
            </c:extLst>
          </c:dPt>
          <c:dPt>
            <c:idx val="7"/>
            <c:invertIfNegative val="0"/>
            <c:bubble3D val="0"/>
            <c:extLst>
              <c:ext xmlns:c16="http://schemas.microsoft.com/office/drawing/2014/chart" uri="{C3380CC4-5D6E-409C-BE32-E72D297353CC}">
                <c16:uniqueId val="{00000007-C734-1342-8442-29D14DEE815D}"/>
              </c:ext>
            </c:extLst>
          </c:dPt>
          <c:dLbls>
            <c:dLbl>
              <c:idx val="0"/>
              <c:layout>
                <c:manualLayout>
                  <c:x val="-1.0790327929961799E-2"/>
                  <c:y val="-0.2103738817693786"/>
                </c:manualLayout>
              </c:layout>
              <c:dLblPos val="ctr"/>
              <c:showLegendKey val="0"/>
              <c:showVal val="1"/>
              <c:showCatName val="0"/>
              <c:showSerName val="0"/>
              <c:showPercent val="0"/>
              <c:showBubbleSize val="0"/>
              <c:extLst>
                <c:ext xmlns:c15="http://schemas.microsoft.com/office/drawing/2012/chart" uri="{CE6537A1-D6FC-4f65-9D91-7224C49458BB}">
                  <c15:layout>
                    <c:manualLayout>
                      <c:w val="0.10324829637388369"/>
                      <c:h val="7.51061935863091E-2"/>
                    </c:manualLayout>
                  </c15:layout>
                </c:ext>
                <c:ext xmlns:c16="http://schemas.microsoft.com/office/drawing/2014/chart" uri="{C3380CC4-5D6E-409C-BE32-E72D297353CC}">
                  <c16:uniqueId val="{00000000-C734-1342-8442-29D14DEE815D}"/>
                </c:ext>
              </c:extLst>
            </c:dLbl>
            <c:dLbl>
              <c:idx val="1"/>
              <c:layout>
                <c:manualLayout>
                  <c:x val="0"/>
                  <c:y val="-0.2275119456221818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734-1342-8442-29D14DEE815D}"/>
                </c:ext>
              </c:extLst>
            </c:dLbl>
            <c:dLbl>
              <c:idx val="2"/>
              <c:layout>
                <c:manualLayout>
                  <c:x val="8.157621520191019E-3"/>
                  <c:y val="-0.17579737692855796"/>
                </c:manualLayout>
              </c:layout>
              <c:dLblPos val="ctr"/>
              <c:showLegendKey val="0"/>
              <c:showVal val="1"/>
              <c:showCatName val="0"/>
              <c:showSerName val="0"/>
              <c:showPercent val="0"/>
              <c:showBubbleSize val="0"/>
              <c:extLst>
                <c:ext xmlns:c15="http://schemas.microsoft.com/office/drawing/2012/chart" uri="{CE6537A1-D6FC-4f65-9D91-7224C49458BB}">
                  <c15:layout>
                    <c:manualLayout>
                      <c:w val="0.11140591789407468"/>
                      <c:h val="6.4365259421046733E-2"/>
                    </c:manualLayout>
                  </c15:layout>
                </c:ext>
                <c:ext xmlns:c16="http://schemas.microsoft.com/office/drawing/2014/chart" uri="{C3380CC4-5D6E-409C-BE32-E72D297353CC}">
                  <c16:uniqueId val="{00000002-C734-1342-8442-29D14DEE815D}"/>
                </c:ext>
              </c:extLst>
            </c:dLbl>
            <c:dLbl>
              <c:idx val="3"/>
              <c:layout>
                <c:manualLayout>
                  <c:x val="0"/>
                  <c:y val="-0.2163520150880523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734-1342-8442-29D14DEE815D}"/>
                </c:ext>
              </c:extLst>
            </c:dLbl>
            <c:dLbl>
              <c:idx val="4"/>
              <c:layout>
                <c:manualLayout>
                  <c:x val="0"/>
                  <c:y val="-0.2201594992933575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734-1342-8442-29D14DEE815D}"/>
                </c:ext>
              </c:extLst>
            </c:dLbl>
            <c:dLbl>
              <c:idx val="5"/>
              <c:layout>
                <c:manualLayout>
                  <c:x val="-1.4461315979754157E-3"/>
                  <c:y val="-0.2866774345514503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734-1342-8442-29D14DEE815D}"/>
                </c:ext>
              </c:extLst>
            </c:dLbl>
            <c:dLbl>
              <c:idx val="6"/>
              <c:layout>
                <c:manualLayout>
                  <c:x val="1.4461315979753097E-3"/>
                  <c:y val="-0.2543683962581600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734-1342-8442-29D14DEE815D}"/>
                </c:ext>
              </c:extLst>
            </c:dLbl>
            <c:dLbl>
              <c:idx val="7"/>
              <c:layout>
                <c:manualLayout>
                  <c:x val="0"/>
                  <c:y val="-0.2579931354734504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734-1342-8442-29D14DEE815D}"/>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Table'!$A$70:$A$78</c:f>
              <c:strCache>
                <c:ptCount val="8"/>
                <c:pt idx="0">
                  <c:v>Auto Loan</c:v>
                </c:pt>
                <c:pt idx="1">
                  <c:v>Credit Card</c:v>
                </c:pt>
                <c:pt idx="2">
                  <c:v>Current Account</c:v>
                </c:pt>
                <c:pt idx="3">
                  <c:v>Fixed Deposit</c:v>
                </c:pt>
                <c:pt idx="4">
                  <c:v>Home Loan</c:v>
                </c:pt>
                <c:pt idx="5">
                  <c:v>Investment</c:v>
                </c:pt>
                <c:pt idx="6">
                  <c:v>Personal Loan</c:v>
                </c:pt>
                <c:pt idx="7">
                  <c:v>Savings Account</c:v>
                </c:pt>
              </c:strCache>
            </c:strRef>
          </c:cat>
          <c:val>
            <c:numRef>
              <c:f>'Pivot Table'!$B$70:$B$78</c:f>
              <c:numCache>
                <c:formatCode>\₹#,##0</c:formatCode>
                <c:ptCount val="8"/>
                <c:pt idx="0">
                  <c:v>2084620.2300000002</c:v>
                </c:pt>
                <c:pt idx="1">
                  <c:v>1515681.53</c:v>
                </c:pt>
                <c:pt idx="2">
                  <c:v>1910176.2799999993</c:v>
                </c:pt>
                <c:pt idx="3">
                  <c:v>2138899</c:v>
                </c:pt>
                <c:pt idx="4">
                  <c:v>1426490.3799999992</c:v>
                </c:pt>
                <c:pt idx="5">
                  <c:v>1871231.0999999994</c:v>
                </c:pt>
                <c:pt idx="6">
                  <c:v>1688933.1099999992</c:v>
                </c:pt>
                <c:pt idx="7">
                  <c:v>1782312.56</c:v>
                </c:pt>
              </c:numCache>
            </c:numRef>
          </c:val>
          <c:extLst>
            <c:ext xmlns:c16="http://schemas.microsoft.com/office/drawing/2014/chart" uri="{C3380CC4-5D6E-409C-BE32-E72D297353CC}">
              <c16:uniqueId val="{00000008-C734-1342-8442-29D14DEE815D}"/>
            </c:ext>
          </c:extLst>
        </c:ser>
        <c:dLbls>
          <c:dLblPos val="inEnd"/>
          <c:showLegendKey val="0"/>
          <c:showVal val="1"/>
          <c:showCatName val="0"/>
          <c:showSerName val="0"/>
          <c:showPercent val="0"/>
          <c:showBubbleSize val="0"/>
        </c:dLbls>
        <c:gapWidth val="150"/>
        <c:overlap val="100"/>
        <c:axId val="1932751103"/>
        <c:axId val="1937344703"/>
      </c:barChart>
      <c:catAx>
        <c:axId val="19327511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PRODUCTS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37344703"/>
        <c:crosses val="autoZero"/>
        <c:auto val="1"/>
        <c:lblAlgn val="ctr"/>
        <c:lblOffset val="100"/>
        <c:noMultiLvlLbl val="0"/>
      </c:catAx>
      <c:valAx>
        <c:axId val="193734470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TRANSACTION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932751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5400" cap="flat" cmpd="sng" algn="ctr">
      <a:solidFill>
        <a:schemeClr val="bg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[HSBC BANK DASHBOARD.xltx]Pivot Table!PivotTable1</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TRANSACTION VALUE BY CUSTOMER SEGMENTS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dLbl>
          <c:idx val="0"/>
          <c:layout>
            <c:manualLayout>
              <c:x val="0"/>
              <c:y val="-0.1455758567150937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dLbl>
          <c:idx val="0"/>
          <c:layout>
            <c:manualLayout>
              <c:x val="4.0983606557377051E-3"/>
              <c:y val="-0.15584423866030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dLbl>
          <c:idx val="0"/>
          <c:layout>
            <c:manualLayout>
              <c:x val="4.0983606557377051E-3"/>
              <c:y val="-0.3574550848397471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6.1475409836064072E-3"/>
              <c:y val="-8.49334590218476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0"/>
              <c:y val="-0.1455758567150937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dLbl>
          <c:idx val="0"/>
          <c:layout>
            <c:manualLayout>
              <c:x val="4.0983606557377051E-3"/>
              <c:y val="-0.15584423866030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dLbl>
          <c:idx val="0"/>
          <c:layout>
            <c:manualLayout>
              <c:x val="4.0983606557377051E-3"/>
              <c:y val="-0.3574550848397471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dLbl>
          <c:idx val="0"/>
          <c:layout>
            <c:manualLayout>
              <c:x val="6.1475409836064072E-3"/>
              <c:y val="-8.49334590218476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dLbl>
          <c:idx val="0"/>
          <c:layout>
            <c:manualLayout>
              <c:x val="0"/>
              <c:y val="-0.1455758567150937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0000"/>
          </a:solidFill>
          <a:ln>
            <a:noFill/>
          </a:ln>
          <a:effectLst/>
        </c:spPr>
        <c:dLbl>
          <c:idx val="0"/>
          <c:layout>
            <c:manualLayout>
              <c:x val="4.0983606557377051E-3"/>
              <c:y val="-0.15584423866030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dLbl>
          <c:idx val="0"/>
          <c:layout>
            <c:manualLayout>
              <c:x val="4.098397749460349E-3"/>
              <c:y val="-0.254378824474151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c:spPr>
        <c:dLbl>
          <c:idx val="0"/>
          <c:layout>
            <c:manualLayout>
              <c:x val="6.1475409836064072E-3"/>
              <c:y val="-8.49334590218476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Table'!$B$9</c:f>
              <c:strCache>
                <c:ptCount val="1"/>
                <c:pt idx="0">
                  <c:v>Total</c:v>
                </c:pt>
              </c:strCache>
            </c:strRef>
          </c:tx>
          <c:spPr>
            <a:solidFill>
              <a:srgbClr val="FF0000"/>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E4E1-DF4D-9963-1EFE54A961BD}"/>
              </c:ext>
            </c:extLst>
          </c:dPt>
          <c:dPt>
            <c:idx val="1"/>
            <c:invertIfNegative val="0"/>
            <c:bubble3D val="0"/>
            <c:spPr>
              <a:solidFill>
                <a:srgbClr val="FF0000"/>
              </a:solidFill>
              <a:ln>
                <a:noFill/>
              </a:ln>
              <a:effectLst/>
            </c:spPr>
            <c:extLst>
              <c:ext xmlns:c16="http://schemas.microsoft.com/office/drawing/2014/chart" uri="{C3380CC4-5D6E-409C-BE32-E72D297353CC}">
                <c16:uniqueId val="{00000003-E4E1-DF4D-9963-1EFE54A961BD}"/>
              </c:ext>
            </c:extLst>
          </c:dPt>
          <c:dPt>
            <c:idx val="2"/>
            <c:invertIfNegative val="0"/>
            <c:bubble3D val="0"/>
            <c:spPr>
              <a:solidFill>
                <a:srgbClr val="FF0000"/>
              </a:solidFill>
              <a:ln>
                <a:noFill/>
              </a:ln>
              <a:effectLst/>
            </c:spPr>
            <c:extLst>
              <c:ext xmlns:c16="http://schemas.microsoft.com/office/drawing/2014/chart" uri="{C3380CC4-5D6E-409C-BE32-E72D297353CC}">
                <c16:uniqueId val="{00000005-E4E1-DF4D-9963-1EFE54A961BD}"/>
              </c:ext>
            </c:extLst>
          </c:dPt>
          <c:dPt>
            <c:idx val="3"/>
            <c:invertIfNegative val="0"/>
            <c:bubble3D val="0"/>
            <c:spPr>
              <a:solidFill>
                <a:srgbClr val="FF0000"/>
              </a:solidFill>
              <a:ln>
                <a:noFill/>
              </a:ln>
              <a:effectLst/>
            </c:spPr>
            <c:extLst>
              <c:ext xmlns:c16="http://schemas.microsoft.com/office/drawing/2014/chart" uri="{C3380CC4-5D6E-409C-BE32-E72D297353CC}">
                <c16:uniqueId val="{00000007-E4E1-DF4D-9963-1EFE54A961BD}"/>
              </c:ext>
            </c:extLst>
          </c:dPt>
          <c:dLbls>
            <c:dLbl>
              <c:idx val="0"/>
              <c:layout>
                <c:manualLayout>
                  <c:x val="0"/>
                  <c:y val="-0.1455758567150937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4E1-DF4D-9963-1EFE54A961BD}"/>
                </c:ext>
              </c:extLst>
            </c:dLbl>
            <c:dLbl>
              <c:idx val="1"/>
              <c:layout>
                <c:manualLayout>
                  <c:x val="4.0983606557377051E-3"/>
                  <c:y val="-0.155844238660308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4E1-DF4D-9963-1EFE54A961BD}"/>
                </c:ext>
              </c:extLst>
            </c:dLbl>
            <c:dLbl>
              <c:idx val="2"/>
              <c:layout>
                <c:manualLayout>
                  <c:x val="4.098397749460349E-3"/>
                  <c:y val="-0.2543788244741519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4E1-DF4D-9963-1EFE54A961BD}"/>
                </c:ext>
              </c:extLst>
            </c:dLbl>
            <c:dLbl>
              <c:idx val="3"/>
              <c:layout>
                <c:manualLayout>
                  <c:x val="6.1475409836064072E-3"/>
                  <c:y val="-8.493345902184762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4E1-DF4D-9963-1EFE54A961B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Table'!$A$10:$A$14</c:f>
              <c:strCache>
                <c:ptCount val="4"/>
                <c:pt idx="0">
                  <c:v>Business Banking</c:v>
                </c:pt>
                <c:pt idx="1">
                  <c:v>Premier Banking</c:v>
                </c:pt>
                <c:pt idx="2">
                  <c:v>Retail Banking</c:v>
                </c:pt>
                <c:pt idx="3">
                  <c:v>Wealth Management</c:v>
                </c:pt>
              </c:strCache>
            </c:strRef>
          </c:cat>
          <c:val>
            <c:numRef>
              <c:f>'Pivot Table'!$B$10:$B$14</c:f>
              <c:numCache>
                <c:formatCode>\₹#,##0</c:formatCode>
                <c:ptCount val="4"/>
                <c:pt idx="0">
                  <c:v>2429790.3699999987</c:v>
                </c:pt>
                <c:pt idx="1">
                  <c:v>3044549.0900000008</c:v>
                </c:pt>
                <c:pt idx="2">
                  <c:v>7956160.8999999994</c:v>
                </c:pt>
                <c:pt idx="3">
                  <c:v>987843.83000000019</c:v>
                </c:pt>
              </c:numCache>
            </c:numRef>
          </c:val>
          <c:extLst>
            <c:ext xmlns:c16="http://schemas.microsoft.com/office/drawing/2014/chart" uri="{C3380CC4-5D6E-409C-BE32-E72D297353CC}">
              <c16:uniqueId val="{00000008-E4E1-DF4D-9963-1EFE54A961BD}"/>
            </c:ext>
          </c:extLst>
        </c:ser>
        <c:dLbls>
          <c:dLblPos val="inEnd"/>
          <c:showLegendKey val="0"/>
          <c:showVal val="1"/>
          <c:showCatName val="0"/>
          <c:showSerName val="0"/>
          <c:showPercent val="0"/>
          <c:showBubbleSize val="0"/>
        </c:dLbls>
        <c:gapWidth val="150"/>
        <c:overlap val="100"/>
        <c:axId val="1000969919"/>
        <c:axId val="1000967679"/>
      </c:barChart>
      <c:catAx>
        <c:axId val="1000969919"/>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CUSTOMER</a:t>
                </a:r>
                <a:r>
                  <a:rPr lang="en-US" b="1" baseline="0"/>
                  <a:t> SEGMENTS</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967679"/>
        <c:crosses val="autoZero"/>
        <c:auto val="1"/>
        <c:lblAlgn val="ctr"/>
        <c:lblOffset val="100"/>
        <c:noMultiLvlLbl val="0"/>
      </c:catAx>
      <c:valAx>
        <c:axId val="1000967679"/>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TRANSACTION</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969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[HSBC BANK DASHBOARD.xltx]Pivot Table!PivotTable6</c:name>
    <c:fmtId val="1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TRANSACTION VALUE BY CHANNELS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dLbl>
          <c:idx val="0"/>
          <c:layout>
            <c:manualLayout>
              <c:x val="0"/>
              <c:y val="-0.311968139399241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dLbl>
          <c:idx val="0"/>
          <c:layout>
            <c:manualLayout>
              <c:x val="-3.5563766338600948E-17"/>
              <c:y val="-0.2640995917177019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dLbl>
          <c:idx val="0"/>
          <c:layout>
            <c:manualLayout>
              <c:x val="3.8797284190106693E-3"/>
              <c:y val="-0.3109277486147564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1.9398642095053346E-3"/>
              <c:y val="-0.292239720034995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dLbl>
          <c:idx val="0"/>
          <c:layout>
            <c:manualLayout>
              <c:x val="0"/>
              <c:y val="-0.3225080198308544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dLbl>
          <c:idx val="0"/>
          <c:layout>
            <c:manualLayout>
              <c:x val="0"/>
              <c:y val="-0.311968139399241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dLbl>
          <c:idx val="0"/>
          <c:layout>
            <c:manualLayout>
              <c:x val="-3.5563766338600948E-17"/>
              <c:y val="-0.2640995917177019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dLbl>
          <c:idx val="0"/>
          <c:layout>
            <c:manualLayout>
              <c:x val="3.8797284190106693E-3"/>
              <c:y val="-0.3109277486147564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dLbl>
          <c:idx val="0"/>
          <c:layout>
            <c:manualLayout>
              <c:x val="1.9398642095053346E-3"/>
              <c:y val="-0.292239720034995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dLbl>
          <c:idx val="0"/>
          <c:layout>
            <c:manualLayout>
              <c:x val="0"/>
              <c:y val="-0.3225080198308544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dLbl>
          <c:idx val="0"/>
          <c:layout>
            <c:manualLayout>
              <c:x val="0"/>
              <c:y val="-0.195887960603888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c:spPr>
        <c:dLbl>
          <c:idx val="0"/>
          <c:layout>
            <c:manualLayout>
              <c:x val="-6.6212184297569132E-17"/>
              <c:y val="-0.17775714370528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0000"/>
          </a:solidFill>
          <a:ln>
            <a:noFill/>
          </a:ln>
          <a:effectLst/>
        </c:spPr>
        <c:dLbl>
          <c:idx val="0"/>
          <c:layout>
            <c:manualLayout>
              <c:x val="3.8797849638497204E-3"/>
              <c:y val="-0.2041387877932827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dLbl>
          <c:idx val="0"/>
          <c:layout>
            <c:manualLayout>
              <c:x val="1.9397502923417828E-3"/>
              <c:y val="-0.173289714507143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0000"/>
          </a:solidFill>
          <a:ln>
            <a:noFill/>
          </a:ln>
          <a:effectLst/>
        </c:spPr>
        <c:dLbl>
          <c:idx val="0"/>
          <c:layout>
            <c:manualLayout>
              <c:x val="3.6758851017166076E-3"/>
              <c:y val="-0.210481796726226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Table'!$B$114</c:f>
              <c:strCache>
                <c:ptCount val="1"/>
                <c:pt idx="0">
                  <c:v>Total</c:v>
                </c:pt>
              </c:strCache>
            </c:strRef>
          </c:tx>
          <c:spPr>
            <a:solidFill>
              <a:srgbClr val="FF0000"/>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1DCA-0340-917E-CAF5DA5D7793}"/>
              </c:ext>
            </c:extLst>
          </c:dPt>
          <c:dPt>
            <c:idx val="1"/>
            <c:invertIfNegative val="0"/>
            <c:bubble3D val="0"/>
            <c:spPr>
              <a:solidFill>
                <a:srgbClr val="FF0000"/>
              </a:solidFill>
              <a:ln>
                <a:noFill/>
              </a:ln>
              <a:effectLst/>
            </c:spPr>
            <c:extLst>
              <c:ext xmlns:c16="http://schemas.microsoft.com/office/drawing/2014/chart" uri="{C3380CC4-5D6E-409C-BE32-E72D297353CC}">
                <c16:uniqueId val="{00000003-1DCA-0340-917E-CAF5DA5D7793}"/>
              </c:ext>
            </c:extLst>
          </c:dPt>
          <c:dPt>
            <c:idx val="2"/>
            <c:invertIfNegative val="0"/>
            <c:bubble3D val="0"/>
            <c:spPr>
              <a:solidFill>
                <a:srgbClr val="FF0000"/>
              </a:solidFill>
              <a:ln>
                <a:noFill/>
              </a:ln>
              <a:effectLst/>
            </c:spPr>
            <c:extLst>
              <c:ext xmlns:c16="http://schemas.microsoft.com/office/drawing/2014/chart" uri="{C3380CC4-5D6E-409C-BE32-E72D297353CC}">
                <c16:uniqueId val="{00000005-1DCA-0340-917E-CAF5DA5D7793}"/>
              </c:ext>
            </c:extLst>
          </c:dPt>
          <c:dPt>
            <c:idx val="3"/>
            <c:invertIfNegative val="0"/>
            <c:bubble3D val="0"/>
            <c:spPr>
              <a:solidFill>
                <a:srgbClr val="FF0000"/>
              </a:solidFill>
              <a:ln>
                <a:noFill/>
              </a:ln>
              <a:effectLst/>
            </c:spPr>
            <c:extLst>
              <c:ext xmlns:c16="http://schemas.microsoft.com/office/drawing/2014/chart" uri="{C3380CC4-5D6E-409C-BE32-E72D297353CC}">
                <c16:uniqueId val="{00000007-1DCA-0340-917E-CAF5DA5D7793}"/>
              </c:ext>
            </c:extLst>
          </c:dPt>
          <c:dPt>
            <c:idx val="4"/>
            <c:invertIfNegative val="0"/>
            <c:bubble3D val="0"/>
            <c:spPr>
              <a:solidFill>
                <a:srgbClr val="FF0000"/>
              </a:solidFill>
              <a:ln>
                <a:noFill/>
              </a:ln>
              <a:effectLst/>
            </c:spPr>
            <c:extLst>
              <c:ext xmlns:c16="http://schemas.microsoft.com/office/drawing/2014/chart" uri="{C3380CC4-5D6E-409C-BE32-E72D297353CC}">
                <c16:uniqueId val="{00000009-1DCA-0340-917E-CAF5DA5D7793}"/>
              </c:ext>
            </c:extLst>
          </c:dPt>
          <c:dLbls>
            <c:dLbl>
              <c:idx val="0"/>
              <c:layout>
                <c:manualLayout>
                  <c:x val="0"/>
                  <c:y val="-0.195887960603888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DCA-0340-917E-CAF5DA5D7793}"/>
                </c:ext>
              </c:extLst>
            </c:dLbl>
            <c:dLbl>
              <c:idx val="1"/>
              <c:layout>
                <c:manualLayout>
                  <c:x val="-6.6212184297569132E-17"/>
                  <c:y val="-0.17775714370528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DCA-0340-917E-CAF5DA5D7793}"/>
                </c:ext>
              </c:extLst>
            </c:dLbl>
            <c:dLbl>
              <c:idx val="2"/>
              <c:layout>
                <c:manualLayout>
                  <c:x val="3.8797849638497204E-3"/>
                  <c:y val="-0.2041387877932827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DCA-0340-917E-CAF5DA5D7793}"/>
                </c:ext>
              </c:extLst>
            </c:dLbl>
            <c:dLbl>
              <c:idx val="3"/>
              <c:layout>
                <c:manualLayout>
                  <c:x val="1.9397502923417828E-3"/>
                  <c:y val="-0.1732897145071432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DCA-0340-917E-CAF5DA5D7793}"/>
                </c:ext>
              </c:extLst>
            </c:dLbl>
            <c:dLbl>
              <c:idx val="4"/>
              <c:layout>
                <c:manualLayout>
                  <c:x val="3.6758851017166076E-3"/>
                  <c:y val="-0.2104817967262260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DCA-0340-917E-CAF5DA5D779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Table'!$A$115:$A$120</c:f>
              <c:strCache>
                <c:ptCount val="5"/>
                <c:pt idx="0">
                  <c:v>ATM</c:v>
                </c:pt>
                <c:pt idx="1">
                  <c:v>Branch</c:v>
                </c:pt>
                <c:pt idx="2">
                  <c:v>Internet Banking</c:v>
                </c:pt>
                <c:pt idx="3">
                  <c:v>Mobile App</c:v>
                </c:pt>
                <c:pt idx="4">
                  <c:v>Relationship Manager</c:v>
                </c:pt>
              </c:strCache>
            </c:strRef>
          </c:cat>
          <c:val>
            <c:numRef>
              <c:f>'Pivot Table'!$B$115:$B$120</c:f>
              <c:numCache>
                <c:formatCode>\₹#,##0</c:formatCode>
                <c:ptCount val="5"/>
                <c:pt idx="0">
                  <c:v>3065389.5499999993</c:v>
                </c:pt>
                <c:pt idx="1">
                  <c:v>2516925.9800000018</c:v>
                </c:pt>
                <c:pt idx="2">
                  <c:v>2909418.0900000026</c:v>
                </c:pt>
                <c:pt idx="3">
                  <c:v>2617446.6800000002</c:v>
                </c:pt>
                <c:pt idx="4">
                  <c:v>3175500.5500000021</c:v>
                </c:pt>
              </c:numCache>
            </c:numRef>
          </c:val>
          <c:extLst>
            <c:ext xmlns:c16="http://schemas.microsoft.com/office/drawing/2014/chart" uri="{C3380CC4-5D6E-409C-BE32-E72D297353CC}">
              <c16:uniqueId val="{0000000A-1DCA-0340-917E-CAF5DA5D7793}"/>
            </c:ext>
          </c:extLst>
        </c:ser>
        <c:dLbls>
          <c:dLblPos val="inEnd"/>
          <c:showLegendKey val="0"/>
          <c:showVal val="1"/>
          <c:showCatName val="0"/>
          <c:showSerName val="0"/>
          <c:showPercent val="0"/>
          <c:showBubbleSize val="0"/>
        </c:dLbls>
        <c:gapWidth val="150"/>
        <c:overlap val="100"/>
        <c:axId val="1965688127"/>
        <c:axId val="1965688575"/>
      </c:barChart>
      <c:catAx>
        <c:axId val="196568812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TRANSACTION</a:t>
                </a:r>
                <a:r>
                  <a:rPr lang="en-US" b="1" baseline="0"/>
                  <a:t> CHANNELS</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5688575"/>
        <c:crosses val="autoZero"/>
        <c:auto val="1"/>
        <c:lblAlgn val="ctr"/>
        <c:lblOffset val="100"/>
        <c:noMultiLvlLbl val="0"/>
      </c:catAx>
      <c:valAx>
        <c:axId val="1965688575"/>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TRANSACTION</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5688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[HSBC BANK DASHBOARD.xltx]Pivot Table!PivotTable2</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TRANSACATION VALUE BY ACCOUNT TYPE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dLbl>
          <c:idx val="0"/>
          <c:layout>
            <c:manualLayout>
              <c:x val="-3.6961938603929014E-17"/>
              <c:y val="-0.128033318751822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dLbl>
          <c:idx val="0"/>
          <c:layout>
            <c:manualLayout>
              <c:x val="0"/>
              <c:y val="-0.115457130358705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dLbl>
          <c:idx val="0"/>
          <c:layout>
            <c:manualLayout>
              <c:x val="2.0161290322580645E-3"/>
              <c:y val="-0.1736111111111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dLbl>
          <c:idx val="0"/>
          <c:layout>
            <c:manualLayout>
              <c:x val="0"/>
              <c:y val="-0.329380285797608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3.6961938603929014E-17"/>
              <c:y val="-0.128033318751822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dLbl>
          <c:idx val="0"/>
          <c:layout>
            <c:manualLayout>
              <c:x val="0"/>
              <c:y val="-0.115457130358705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dLbl>
          <c:idx val="0"/>
          <c:layout>
            <c:manualLayout>
              <c:x val="2.0161290322580645E-3"/>
              <c:y val="-0.1736111111111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dLbl>
          <c:idx val="0"/>
          <c:layout>
            <c:manualLayout>
              <c:x val="0"/>
              <c:y val="-0.329380285797608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dLbl>
          <c:idx val="0"/>
          <c:layout>
            <c:manualLayout>
              <c:x val="-3.6961938603929014E-17"/>
              <c:y val="-0.128033318751822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0000"/>
          </a:solidFill>
          <a:ln>
            <a:noFill/>
          </a:ln>
          <a:effectLst/>
        </c:spPr>
        <c:dLbl>
          <c:idx val="0"/>
          <c:layout>
            <c:manualLayout>
              <c:x val="0"/>
              <c:y val="-0.115457130358705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0000"/>
          </a:solidFill>
          <a:ln>
            <a:noFill/>
          </a:ln>
          <a:effectLst/>
        </c:spPr>
        <c:dLbl>
          <c:idx val="0"/>
          <c:layout>
            <c:manualLayout>
              <c:x val="2.0161290322580645E-3"/>
              <c:y val="-0.173611111111111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c:spPr>
        <c:dLbl>
          <c:idx val="0"/>
          <c:layout>
            <c:manualLayout>
              <c:x val="0"/>
              <c:y val="-0.329380285797608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Table'!$B$20</c:f>
              <c:strCache>
                <c:ptCount val="1"/>
                <c:pt idx="0">
                  <c:v>Total</c:v>
                </c:pt>
              </c:strCache>
            </c:strRef>
          </c:tx>
          <c:spPr>
            <a:solidFill>
              <a:srgbClr val="FF0000"/>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465D-0040-820E-EB2FDD7AD652}"/>
              </c:ext>
            </c:extLst>
          </c:dPt>
          <c:dPt>
            <c:idx val="1"/>
            <c:invertIfNegative val="0"/>
            <c:bubble3D val="0"/>
            <c:spPr>
              <a:solidFill>
                <a:srgbClr val="FF0000"/>
              </a:solidFill>
              <a:ln>
                <a:noFill/>
              </a:ln>
              <a:effectLst/>
            </c:spPr>
            <c:extLst>
              <c:ext xmlns:c16="http://schemas.microsoft.com/office/drawing/2014/chart" uri="{C3380CC4-5D6E-409C-BE32-E72D297353CC}">
                <c16:uniqueId val="{00000003-465D-0040-820E-EB2FDD7AD652}"/>
              </c:ext>
            </c:extLst>
          </c:dPt>
          <c:dPt>
            <c:idx val="2"/>
            <c:invertIfNegative val="0"/>
            <c:bubble3D val="0"/>
            <c:spPr>
              <a:solidFill>
                <a:srgbClr val="FF0000"/>
              </a:solidFill>
              <a:ln>
                <a:noFill/>
              </a:ln>
              <a:effectLst/>
            </c:spPr>
            <c:extLst>
              <c:ext xmlns:c16="http://schemas.microsoft.com/office/drawing/2014/chart" uri="{C3380CC4-5D6E-409C-BE32-E72D297353CC}">
                <c16:uniqueId val="{00000005-465D-0040-820E-EB2FDD7AD652}"/>
              </c:ext>
            </c:extLst>
          </c:dPt>
          <c:dPt>
            <c:idx val="3"/>
            <c:invertIfNegative val="0"/>
            <c:bubble3D val="0"/>
            <c:spPr>
              <a:solidFill>
                <a:srgbClr val="FF0000"/>
              </a:solidFill>
              <a:ln>
                <a:noFill/>
              </a:ln>
              <a:effectLst/>
            </c:spPr>
            <c:extLst>
              <c:ext xmlns:c16="http://schemas.microsoft.com/office/drawing/2014/chart" uri="{C3380CC4-5D6E-409C-BE32-E72D297353CC}">
                <c16:uniqueId val="{00000007-465D-0040-820E-EB2FDD7AD652}"/>
              </c:ext>
            </c:extLst>
          </c:dPt>
          <c:dLbls>
            <c:dLbl>
              <c:idx val="0"/>
              <c:layout>
                <c:manualLayout>
                  <c:x val="-3.6961938603929014E-17"/>
                  <c:y val="-0.1280333187518227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65D-0040-820E-EB2FDD7AD652}"/>
                </c:ext>
              </c:extLst>
            </c:dLbl>
            <c:dLbl>
              <c:idx val="1"/>
              <c:layout>
                <c:manualLayout>
                  <c:x val="0"/>
                  <c:y val="-0.1154571303587052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65D-0040-820E-EB2FDD7AD652}"/>
                </c:ext>
              </c:extLst>
            </c:dLbl>
            <c:dLbl>
              <c:idx val="2"/>
              <c:layout>
                <c:manualLayout>
                  <c:x val="2.0161290322580645E-3"/>
                  <c:y val="-0.173611111111111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65D-0040-820E-EB2FDD7AD652}"/>
                </c:ext>
              </c:extLst>
            </c:dLbl>
            <c:dLbl>
              <c:idx val="3"/>
              <c:layout>
                <c:manualLayout>
                  <c:x val="0"/>
                  <c:y val="-0.3293802857976086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65D-0040-820E-EB2FDD7AD65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Table'!$A$21:$A$25</c:f>
              <c:strCache>
                <c:ptCount val="4"/>
                <c:pt idx="0">
                  <c:v>Current</c:v>
                </c:pt>
                <c:pt idx="1">
                  <c:v>Premium Savings</c:v>
                </c:pt>
                <c:pt idx="2">
                  <c:v>Salary</c:v>
                </c:pt>
                <c:pt idx="3">
                  <c:v>Savings</c:v>
                </c:pt>
              </c:strCache>
            </c:strRef>
          </c:cat>
          <c:val>
            <c:numRef>
              <c:f>'Pivot Table'!$B$21:$B$25</c:f>
              <c:numCache>
                <c:formatCode>\₹#,##0</c:formatCode>
                <c:ptCount val="4"/>
                <c:pt idx="0">
                  <c:v>2099256.9799999995</c:v>
                </c:pt>
                <c:pt idx="1">
                  <c:v>2251937.6800000002</c:v>
                </c:pt>
                <c:pt idx="2">
                  <c:v>2913464.4600000018</c:v>
                </c:pt>
                <c:pt idx="3">
                  <c:v>7153685.0699999966</c:v>
                </c:pt>
              </c:numCache>
            </c:numRef>
          </c:val>
          <c:extLst>
            <c:ext xmlns:c16="http://schemas.microsoft.com/office/drawing/2014/chart" uri="{C3380CC4-5D6E-409C-BE32-E72D297353CC}">
              <c16:uniqueId val="{00000008-465D-0040-820E-EB2FDD7AD652}"/>
            </c:ext>
          </c:extLst>
        </c:ser>
        <c:dLbls>
          <c:dLblPos val="inEnd"/>
          <c:showLegendKey val="0"/>
          <c:showVal val="1"/>
          <c:showCatName val="0"/>
          <c:showSerName val="0"/>
          <c:showPercent val="0"/>
          <c:showBubbleSize val="0"/>
        </c:dLbls>
        <c:gapWidth val="150"/>
        <c:overlap val="100"/>
        <c:axId val="1484362559"/>
        <c:axId val="1192408191"/>
      </c:barChart>
      <c:catAx>
        <c:axId val="1484362559"/>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ACCOUNT</a:t>
                </a:r>
                <a:r>
                  <a:rPr lang="en-US" b="1" baseline="0"/>
                  <a:t> TYPES</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408191"/>
        <c:crosses val="autoZero"/>
        <c:auto val="1"/>
        <c:lblAlgn val="ctr"/>
        <c:lblOffset val="100"/>
        <c:noMultiLvlLbl val="0"/>
      </c:catAx>
      <c:valAx>
        <c:axId val="1192408191"/>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TRANSACTION</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4362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[HSBC BANK DASHBOARD.xltx]Pivot Table!PivotTable7</c:name>
    <c:fmtId val="2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CUSTOMER STATUS WISE</a:t>
            </a:r>
            <a:r>
              <a:rPr lang="en-US" b="1" baseline="0"/>
              <a:t> TRANSACTIONS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0000"/>
          </a:solidFill>
          <a:ln>
            <a:noFill/>
          </a:ln>
          <a:effectLst/>
        </c:spPr>
        <c:dLbl>
          <c:idx val="0"/>
          <c:layout>
            <c:manualLayout>
              <c:x val="0"/>
              <c:y val="-0.317392461358996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dLbl>
          <c:idx val="0"/>
          <c:layout>
            <c:manualLayout>
              <c:x val="0"/>
              <c:y val="-3.69036162146398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dLbl>
          <c:idx val="0"/>
          <c:layout>
            <c:manualLayout>
              <c:x val="-1.0185067526415994E-16"/>
              <c:y val="-6.8321668124817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dLbl>
          <c:idx val="0"/>
          <c:layout>
            <c:manualLayout>
              <c:x val="0"/>
              <c:y val="-0.3173924613589967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dLbl>
          <c:idx val="0"/>
          <c:layout>
            <c:manualLayout>
              <c:x val="0"/>
              <c:y val="-3.69036162146398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dLbl>
          <c:idx val="0"/>
          <c:layout>
            <c:manualLayout>
              <c:x val="-1.0185067526415994E-16"/>
              <c:y val="-6.8321668124817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0000"/>
          </a:solidFill>
          <a:ln>
            <a:noFill/>
          </a:ln>
          <a:effectLst/>
        </c:spPr>
        <c:dLbl>
          <c:idx val="0"/>
          <c:layout>
            <c:manualLayout>
              <c:x val="8.8105706497923035E-3"/>
              <c:y val="-0.368624318694434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0000"/>
          </a:solidFill>
          <a:ln>
            <a:noFill/>
          </a:ln>
          <a:effectLst/>
        </c:spPr>
        <c:dLbl>
          <c:idx val="0"/>
          <c:layout>
            <c:manualLayout>
              <c:x val="0"/>
              <c:y val="-3.69036162146398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dLbl>
          <c:idx val="0"/>
          <c:layout>
            <c:manualLayout>
              <c:x val="-1.0185067526415994E-16"/>
              <c:y val="-6.83216681248177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Table'!$B$134</c:f>
              <c:strCache>
                <c:ptCount val="1"/>
                <c:pt idx="0">
                  <c:v>Total</c:v>
                </c:pt>
              </c:strCache>
            </c:strRef>
          </c:tx>
          <c:spPr>
            <a:solidFill>
              <a:srgbClr val="FF0000"/>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C0A2-2941-A25F-AC17485A6057}"/>
              </c:ext>
            </c:extLst>
          </c:dPt>
          <c:dPt>
            <c:idx val="1"/>
            <c:invertIfNegative val="0"/>
            <c:bubble3D val="0"/>
            <c:spPr>
              <a:solidFill>
                <a:srgbClr val="FF0000"/>
              </a:solidFill>
              <a:ln>
                <a:noFill/>
              </a:ln>
              <a:effectLst/>
            </c:spPr>
            <c:extLst>
              <c:ext xmlns:c16="http://schemas.microsoft.com/office/drawing/2014/chart" uri="{C3380CC4-5D6E-409C-BE32-E72D297353CC}">
                <c16:uniqueId val="{00000003-C0A2-2941-A25F-AC17485A6057}"/>
              </c:ext>
            </c:extLst>
          </c:dPt>
          <c:dPt>
            <c:idx val="2"/>
            <c:invertIfNegative val="0"/>
            <c:bubble3D val="0"/>
            <c:spPr>
              <a:solidFill>
                <a:srgbClr val="FF0000"/>
              </a:solidFill>
              <a:ln>
                <a:noFill/>
              </a:ln>
              <a:effectLst/>
            </c:spPr>
            <c:extLst>
              <c:ext xmlns:c16="http://schemas.microsoft.com/office/drawing/2014/chart" uri="{C3380CC4-5D6E-409C-BE32-E72D297353CC}">
                <c16:uniqueId val="{00000005-C0A2-2941-A25F-AC17485A6057}"/>
              </c:ext>
            </c:extLst>
          </c:dPt>
          <c:dLbls>
            <c:dLbl>
              <c:idx val="0"/>
              <c:layout>
                <c:manualLayout>
                  <c:x val="8.8105706497923035E-3"/>
                  <c:y val="-0.3686243186944347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A2-2941-A25F-AC17485A6057}"/>
                </c:ext>
              </c:extLst>
            </c:dLbl>
            <c:dLbl>
              <c:idx val="1"/>
              <c:layout>
                <c:manualLayout>
                  <c:x val="0"/>
                  <c:y val="-3.690361621463983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0A2-2941-A25F-AC17485A6057}"/>
                </c:ext>
              </c:extLst>
            </c:dLbl>
            <c:dLbl>
              <c:idx val="2"/>
              <c:layout>
                <c:manualLayout>
                  <c:x val="-1.0185067526415994E-16"/>
                  <c:y val="-6.832166812481772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0A2-2941-A25F-AC17485A605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Table'!$A$135:$A$138</c:f>
              <c:strCache>
                <c:ptCount val="3"/>
                <c:pt idx="0">
                  <c:v>Active</c:v>
                </c:pt>
                <c:pt idx="1">
                  <c:v>Closed</c:v>
                </c:pt>
                <c:pt idx="2">
                  <c:v>Dormant</c:v>
                </c:pt>
              </c:strCache>
            </c:strRef>
          </c:cat>
          <c:val>
            <c:numRef>
              <c:f>'Pivot Table'!$B$135:$B$138</c:f>
              <c:numCache>
                <c:formatCode>\₹#,##0</c:formatCode>
                <c:ptCount val="3"/>
                <c:pt idx="0">
                  <c:v>13020772.72000001</c:v>
                </c:pt>
                <c:pt idx="1">
                  <c:v>408776.25000000006</c:v>
                </c:pt>
                <c:pt idx="2">
                  <c:v>988795.2200000002</c:v>
                </c:pt>
              </c:numCache>
            </c:numRef>
          </c:val>
          <c:extLst>
            <c:ext xmlns:c16="http://schemas.microsoft.com/office/drawing/2014/chart" uri="{C3380CC4-5D6E-409C-BE32-E72D297353CC}">
              <c16:uniqueId val="{00000006-C0A2-2941-A25F-AC17485A6057}"/>
            </c:ext>
          </c:extLst>
        </c:ser>
        <c:dLbls>
          <c:dLblPos val="inEnd"/>
          <c:showLegendKey val="0"/>
          <c:showVal val="1"/>
          <c:showCatName val="0"/>
          <c:showSerName val="0"/>
          <c:showPercent val="0"/>
          <c:showBubbleSize val="0"/>
        </c:dLbls>
        <c:gapWidth val="150"/>
        <c:overlap val="100"/>
        <c:axId val="1973398911"/>
        <c:axId val="1958255167"/>
      </c:barChart>
      <c:catAx>
        <c:axId val="197339891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CUSTOMER</a:t>
                </a:r>
                <a:r>
                  <a:rPr lang="en-US" b="1" baseline="0"/>
                  <a:t> STATUS</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8255167"/>
        <c:crosses val="autoZero"/>
        <c:auto val="1"/>
        <c:lblAlgn val="ctr"/>
        <c:lblOffset val="100"/>
        <c:noMultiLvlLbl val="0"/>
      </c:catAx>
      <c:valAx>
        <c:axId val="1958255167"/>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TRANSACTION</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3989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[HSBC BANK DASHBOARD.xltx]Pivot Table!PivotTable5</c:name>
    <c:fmtId val="2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sz="1400" b="1" i="0" u="none" strike="noStrike" baseline="0"/>
              <a:t>AVERAGE INCOME &amp; TRANSACTION VALUE BY EMPLOYMENT TYPE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Table'!$B$90</c:f>
              <c:strCache>
                <c:ptCount val="1"/>
                <c:pt idx="0">
                  <c:v>Average Annual Income </c:v>
                </c:pt>
              </c:strCache>
            </c:strRef>
          </c:tx>
          <c:spPr>
            <a:solidFill>
              <a:srgbClr val="FF0000"/>
            </a:solidFill>
            <a:ln>
              <a:noFill/>
            </a:ln>
            <a:effectLst/>
          </c:spPr>
          <c:invertIfNegative val="0"/>
          <c:cat>
            <c:strRef>
              <c:f>'Pivot Table'!$A$91:$A$97</c:f>
              <c:strCache>
                <c:ptCount val="6"/>
                <c:pt idx="0">
                  <c:v>Business Owner</c:v>
                </c:pt>
                <c:pt idx="1">
                  <c:v>Professional</c:v>
                </c:pt>
                <c:pt idx="2">
                  <c:v>Retired</c:v>
                </c:pt>
                <c:pt idx="3">
                  <c:v>Salaried</c:v>
                </c:pt>
                <c:pt idx="4">
                  <c:v>Self-Employed</c:v>
                </c:pt>
                <c:pt idx="5">
                  <c:v>(blank)</c:v>
                </c:pt>
              </c:strCache>
            </c:strRef>
          </c:cat>
          <c:val>
            <c:numRef>
              <c:f>'Pivot Table'!$B$91:$B$97</c:f>
              <c:numCache>
                <c:formatCode>\₹#,##0</c:formatCode>
                <c:ptCount val="6"/>
                <c:pt idx="0">
                  <c:v>2285346.3214285714</c:v>
                </c:pt>
                <c:pt idx="1">
                  <c:v>2388082.4873949578</c:v>
                </c:pt>
                <c:pt idx="2">
                  <c:v>2396966.03125</c:v>
                </c:pt>
                <c:pt idx="3">
                  <c:v>2357278.6653696499</c:v>
                </c:pt>
                <c:pt idx="4">
                  <c:v>2519024.8324022344</c:v>
                </c:pt>
                <c:pt idx="5">
                  <c:v>2059911.75</c:v>
                </c:pt>
              </c:numCache>
            </c:numRef>
          </c:val>
          <c:extLst>
            <c:ext xmlns:c16="http://schemas.microsoft.com/office/drawing/2014/chart" uri="{C3380CC4-5D6E-409C-BE32-E72D297353CC}">
              <c16:uniqueId val="{00000000-7B89-9D49-824F-B63F94BC041C}"/>
            </c:ext>
          </c:extLst>
        </c:ser>
        <c:dLbls>
          <c:showLegendKey val="0"/>
          <c:showVal val="0"/>
          <c:showCatName val="0"/>
          <c:showSerName val="0"/>
          <c:showPercent val="0"/>
          <c:showBubbleSize val="0"/>
        </c:dLbls>
        <c:gapWidth val="150"/>
        <c:axId val="1710507776"/>
        <c:axId val="1711001088"/>
      </c:barChart>
      <c:lineChart>
        <c:grouping val="standard"/>
        <c:varyColors val="0"/>
        <c:ser>
          <c:idx val="1"/>
          <c:order val="1"/>
          <c:tx>
            <c:strRef>
              <c:f>'Pivot Table'!$C$90</c:f>
              <c:strCache>
                <c:ptCount val="1"/>
                <c:pt idx="0">
                  <c:v>Average Transaction Amount</c:v>
                </c:pt>
              </c:strCache>
            </c:strRef>
          </c:tx>
          <c:spPr>
            <a:ln w="28575" cap="rnd">
              <a:solidFill>
                <a:schemeClr val="accent2"/>
              </a:solidFill>
              <a:round/>
            </a:ln>
            <a:effectLst/>
          </c:spPr>
          <c:marker>
            <c:symbol val="none"/>
          </c:marker>
          <c:cat>
            <c:strRef>
              <c:f>'Pivot Table'!$A$91:$A$97</c:f>
              <c:strCache>
                <c:ptCount val="6"/>
                <c:pt idx="0">
                  <c:v>Business Owner</c:v>
                </c:pt>
                <c:pt idx="1">
                  <c:v>Professional</c:v>
                </c:pt>
                <c:pt idx="2">
                  <c:v>Retired</c:v>
                </c:pt>
                <c:pt idx="3">
                  <c:v>Salaried</c:v>
                </c:pt>
                <c:pt idx="4">
                  <c:v>Self-Employed</c:v>
                </c:pt>
                <c:pt idx="5">
                  <c:v>(blank)</c:v>
                </c:pt>
              </c:strCache>
            </c:strRef>
          </c:cat>
          <c:val>
            <c:numRef>
              <c:f>'Pivot Table'!$C$91:$C$97</c:f>
              <c:numCache>
                <c:formatCode>\₹#,##0</c:formatCode>
                <c:ptCount val="6"/>
                <c:pt idx="0">
                  <c:v>12537.135</c:v>
                </c:pt>
                <c:pt idx="1">
                  <c:v>15617.759075630252</c:v>
                </c:pt>
                <c:pt idx="2">
                  <c:v>16687.697031249998</c:v>
                </c:pt>
                <c:pt idx="3">
                  <c:v>14353.900369649798</c:v>
                </c:pt>
                <c:pt idx="4">
                  <c:v>14654.100893854751</c:v>
                </c:pt>
                <c:pt idx="5">
                  <c:v>7222.5233333333335</c:v>
                </c:pt>
              </c:numCache>
            </c:numRef>
          </c:val>
          <c:smooth val="0"/>
          <c:extLst>
            <c:ext xmlns:c16="http://schemas.microsoft.com/office/drawing/2014/chart" uri="{C3380CC4-5D6E-409C-BE32-E72D297353CC}">
              <c16:uniqueId val="{00000001-7B89-9D49-824F-B63F94BC041C}"/>
            </c:ext>
          </c:extLst>
        </c:ser>
        <c:dLbls>
          <c:showLegendKey val="0"/>
          <c:showVal val="0"/>
          <c:showCatName val="0"/>
          <c:showSerName val="0"/>
          <c:showPercent val="0"/>
          <c:showBubbleSize val="0"/>
        </c:dLbls>
        <c:marker val="1"/>
        <c:smooth val="0"/>
        <c:axId val="159781695"/>
        <c:axId val="159790207"/>
      </c:lineChart>
      <c:catAx>
        <c:axId val="1710507776"/>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EMPLOYMENT</a:t>
                </a:r>
                <a:r>
                  <a:rPr lang="en-US" b="1" baseline="0"/>
                  <a:t> TYPE</a:t>
                </a:r>
                <a:endParaRPr lang="en-US"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1001088"/>
        <c:crosses val="autoZero"/>
        <c:auto val="1"/>
        <c:lblAlgn val="ctr"/>
        <c:lblOffset val="100"/>
        <c:noMultiLvlLbl val="0"/>
      </c:catAx>
      <c:valAx>
        <c:axId val="1711001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ANNUAL INCOME</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507776"/>
        <c:crosses val="autoZero"/>
        <c:crossBetween val="between"/>
      </c:valAx>
      <c:valAx>
        <c:axId val="159790207"/>
        <c:scaling>
          <c:orientation val="minMax"/>
        </c:scaling>
        <c:delete val="0"/>
        <c:axPos val="r"/>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TRANSACTION</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781695"/>
        <c:crosses val="max"/>
        <c:crossBetween val="between"/>
      </c:valAx>
      <c:catAx>
        <c:axId val="159781695"/>
        <c:scaling>
          <c:orientation val="minMax"/>
        </c:scaling>
        <c:delete val="1"/>
        <c:axPos val="b"/>
        <c:numFmt formatCode="General" sourceLinked="1"/>
        <c:majorTickMark val="out"/>
        <c:minorTickMark val="none"/>
        <c:tickLblPos val="nextTo"/>
        <c:crossAx val="1597902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4.png"/><Relationship Id="rId3" Type="http://schemas.openxmlformats.org/officeDocument/2006/relationships/hyperlink" Target="https://id.wikipedia.org/wiki/HSBC" TargetMode="External"/><Relationship Id="rId7" Type="http://schemas.openxmlformats.org/officeDocument/2006/relationships/chart" Target="../charts/chart1.xml"/><Relationship Id="rId12" Type="http://schemas.openxmlformats.org/officeDocument/2006/relationships/chart" Target="../charts/chart6.xml"/><Relationship Id="rId2" Type="http://schemas.openxmlformats.org/officeDocument/2006/relationships/image" Target="../media/image1.png"/><Relationship Id="rId1" Type="http://schemas.openxmlformats.org/officeDocument/2006/relationships/hyperlink" Target="#DATA!A1"/><Relationship Id="rId6" Type="http://schemas.openxmlformats.org/officeDocument/2006/relationships/image" Target="../media/image3.svg"/><Relationship Id="rId11" Type="http://schemas.openxmlformats.org/officeDocument/2006/relationships/chart" Target="../charts/chart5.xml"/><Relationship Id="rId5" Type="http://schemas.openxmlformats.org/officeDocument/2006/relationships/image" Target="../media/image2.png"/><Relationship Id="rId15" Type="http://schemas.openxmlformats.org/officeDocument/2006/relationships/chart" Target="../charts/chart7.xml"/><Relationship Id="rId10" Type="http://schemas.openxmlformats.org/officeDocument/2006/relationships/chart" Target="../charts/chart4.xml"/><Relationship Id="rId4" Type="http://schemas.openxmlformats.org/officeDocument/2006/relationships/hyperlink" Target="#'Final Report'!A1"/><Relationship Id="rId9" Type="http://schemas.openxmlformats.org/officeDocument/2006/relationships/chart" Target="../charts/chart3.xml"/><Relationship Id="rId14" Type="http://schemas.openxmlformats.org/officeDocument/2006/relationships/image" Target="../media/image5.svg"/></Relationships>
</file>

<file path=xl/drawings/drawing1.xml><?xml version="1.0" encoding="utf-8"?>
<xdr:wsDr xmlns:xdr="http://schemas.openxmlformats.org/drawingml/2006/spreadsheetDrawing" xmlns:a="http://schemas.openxmlformats.org/drawingml/2006/main">
  <xdr:twoCellAnchor>
    <xdr:from>
      <xdr:col>0</xdr:col>
      <xdr:colOff>122767</xdr:colOff>
      <xdr:row>1</xdr:row>
      <xdr:rowOff>1411</xdr:rowOff>
    </xdr:from>
    <xdr:to>
      <xdr:col>3</xdr:col>
      <xdr:colOff>491067</xdr:colOff>
      <xdr:row>51</xdr:row>
      <xdr:rowOff>31751</xdr:rowOff>
    </xdr:to>
    <xdr:sp macro="" textlink="">
      <xdr:nvSpPr>
        <xdr:cNvPr id="2" name="Rounded Rectangle 1">
          <a:extLst>
            <a:ext uri="{FF2B5EF4-FFF2-40B4-BE49-F238E27FC236}">
              <a16:creationId xmlns:a16="http://schemas.microsoft.com/office/drawing/2014/main" id="{356AD8B0-B191-BD5C-E01C-D382FAAB051D}"/>
            </a:ext>
          </a:extLst>
        </xdr:cNvPr>
        <xdr:cNvSpPr/>
      </xdr:nvSpPr>
      <xdr:spPr>
        <a:xfrm>
          <a:off x="122767" y="191911"/>
          <a:ext cx="2844800" cy="9555340"/>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375708</xdr:colOff>
      <xdr:row>2</xdr:row>
      <xdr:rowOff>113946</xdr:rowOff>
    </xdr:from>
    <xdr:to>
      <xdr:col>3</xdr:col>
      <xdr:colOff>254000</xdr:colOff>
      <xdr:row>4</xdr:row>
      <xdr:rowOff>172734</xdr:rowOff>
    </xdr:to>
    <xdr:pic>
      <xdr:nvPicPr>
        <xdr:cNvPr id="4" name="Picture 3" descr="HSBC - Wikipedia bahasa Indonesia, ensiklopedia bebas">
          <a:hlinkClick xmlns:r="http://schemas.openxmlformats.org/officeDocument/2006/relationships" r:id="rId1"/>
          <a:extLst>
            <a:ext uri="{FF2B5EF4-FFF2-40B4-BE49-F238E27FC236}">
              <a16:creationId xmlns:a16="http://schemas.microsoft.com/office/drawing/2014/main" id="{EFDDFD8F-2EA3-8C0C-843F-EC93161414F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a:off x="375708" y="494946"/>
          <a:ext cx="2354792" cy="439788"/>
        </a:xfrm>
        <a:prstGeom prst="rect">
          <a:avLst/>
        </a:prstGeom>
      </xdr:spPr>
    </xdr:pic>
    <xdr:clientData/>
  </xdr:twoCellAnchor>
  <xdr:twoCellAnchor editAs="oneCell">
    <xdr:from>
      <xdr:col>0</xdr:col>
      <xdr:colOff>265290</xdr:colOff>
      <xdr:row>9</xdr:row>
      <xdr:rowOff>119942</xdr:rowOff>
    </xdr:from>
    <xdr:to>
      <xdr:col>3</xdr:col>
      <xdr:colOff>366890</xdr:colOff>
      <xdr:row>14</xdr:row>
      <xdr:rowOff>132642</xdr:rowOff>
    </xdr:to>
    <mc:AlternateContent xmlns:mc="http://schemas.openxmlformats.org/markup-compatibility/2006" xmlns:a14="http://schemas.microsoft.com/office/drawing/2010/main">
      <mc:Choice Requires="a14">
        <xdr:graphicFrame macro="">
          <xdr:nvGraphicFramePr>
            <xdr:cNvPr id="6" name="Account Type">
              <a:extLst>
                <a:ext uri="{FF2B5EF4-FFF2-40B4-BE49-F238E27FC236}">
                  <a16:creationId xmlns:a16="http://schemas.microsoft.com/office/drawing/2014/main" id="{E5BEE849-7B45-BC49-B187-E7EBE68DA714}"/>
                </a:ext>
              </a:extLst>
            </xdr:cNvPr>
            <xdr:cNvGraphicFramePr/>
          </xdr:nvGraphicFramePr>
          <xdr:xfrm>
            <a:off x="0" y="0"/>
            <a:ext cx="0" cy="0"/>
          </xdr:xfrm>
          <a:graphic>
            <a:graphicData uri="http://schemas.microsoft.com/office/drawing/2010/slicer">
              <sle:slicer xmlns:sle="http://schemas.microsoft.com/office/drawing/2010/slicer" name="Account Type"/>
            </a:graphicData>
          </a:graphic>
        </xdr:graphicFrame>
      </mc:Choice>
      <mc:Fallback xmlns="">
        <xdr:sp macro="" textlink="">
          <xdr:nvSpPr>
            <xdr:cNvPr id="0" name=""/>
            <xdr:cNvSpPr>
              <a:spLocks noTextEdit="1"/>
            </xdr:cNvSpPr>
          </xdr:nvSpPr>
          <xdr:spPr>
            <a:xfrm>
              <a:off x="265290" y="1834442"/>
              <a:ext cx="2578100" cy="965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254000</xdr:colOff>
      <xdr:row>15</xdr:row>
      <xdr:rowOff>9878</xdr:rowOff>
    </xdr:from>
    <xdr:to>
      <xdr:col>3</xdr:col>
      <xdr:colOff>368300</xdr:colOff>
      <xdr:row>23</xdr:row>
      <xdr:rowOff>42333</xdr:rowOff>
    </xdr:to>
    <mc:AlternateContent xmlns:mc="http://schemas.openxmlformats.org/markup-compatibility/2006" xmlns:a14="http://schemas.microsoft.com/office/drawing/2010/main">
      <mc:Choice Requires="a14">
        <xdr:graphicFrame macro="">
          <xdr:nvGraphicFramePr>
            <xdr:cNvPr id="7" name="City">
              <a:extLst>
                <a:ext uri="{FF2B5EF4-FFF2-40B4-BE49-F238E27FC236}">
                  <a16:creationId xmlns:a16="http://schemas.microsoft.com/office/drawing/2014/main" id="{A244BB70-045D-3E4F-84A7-B2317F8EED5C}"/>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54000" y="2867378"/>
              <a:ext cx="2590800" cy="15564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238477</xdr:colOff>
      <xdr:row>23</xdr:row>
      <xdr:rowOff>131233</xdr:rowOff>
    </xdr:from>
    <xdr:to>
      <xdr:col>3</xdr:col>
      <xdr:colOff>366889</xdr:colOff>
      <xdr:row>29</xdr:row>
      <xdr:rowOff>169333</xdr:rowOff>
    </xdr:to>
    <mc:AlternateContent xmlns:mc="http://schemas.openxmlformats.org/markup-compatibility/2006" xmlns:a14="http://schemas.microsoft.com/office/drawing/2010/main">
      <mc:Choice Requires="a14">
        <xdr:graphicFrame macro="">
          <xdr:nvGraphicFramePr>
            <xdr:cNvPr id="8" name="Employment_Type">
              <a:extLst>
                <a:ext uri="{FF2B5EF4-FFF2-40B4-BE49-F238E27FC236}">
                  <a16:creationId xmlns:a16="http://schemas.microsoft.com/office/drawing/2014/main" id="{97DDFF50-84EC-F241-AACC-8E76E57E3E9D}"/>
                </a:ext>
              </a:extLst>
            </xdr:cNvPr>
            <xdr:cNvGraphicFramePr/>
          </xdr:nvGraphicFramePr>
          <xdr:xfrm>
            <a:off x="0" y="0"/>
            <a:ext cx="0" cy="0"/>
          </xdr:xfrm>
          <a:graphic>
            <a:graphicData uri="http://schemas.microsoft.com/office/drawing/2010/slicer">
              <sle:slicer xmlns:sle="http://schemas.microsoft.com/office/drawing/2010/slicer" name="Employment_Type"/>
            </a:graphicData>
          </a:graphic>
        </xdr:graphicFrame>
      </mc:Choice>
      <mc:Fallback xmlns="">
        <xdr:sp macro="" textlink="">
          <xdr:nvSpPr>
            <xdr:cNvPr id="0" name=""/>
            <xdr:cNvSpPr>
              <a:spLocks noTextEdit="1"/>
            </xdr:cNvSpPr>
          </xdr:nvSpPr>
          <xdr:spPr>
            <a:xfrm>
              <a:off x="238477" y="4512733"/>
              <a:ext cx="2604912"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224367</xdr:colOff>
      <xdr:row>30</xdr:row>
      <xdr:rowOff>53623</xdr:rowOff>
    </xdr:from>
    <xdr:to>
      <xdr:col>3</xdr:col>
      <xdr:colOff>366889</xdr:colOff>
      <xdr:row>35</xdr:row>
      <xdr:rowOff>117124</xdr:rowOff>
    </xdr:to>
    <mc:AlternateContent xmlns:mc="http://schemas.openxmlformats.org/markup-compatibility/2006" xmlns:a14="http://schemas.microsoft.com/office/drawing/2010/main">
      <mc:Choice Requires="a14">
        <xdr:graphicFrame macro="">
          <xdr:nvGraphicFramePr>
            <xdr:cNvPr id="9" name="Customer_Segment">
              <a:extLst>
                <a:ext uri="{FF2B5EF4-FFF2-40B4-BE49-F238E27FC236}">
                  <a16:creationId xmlns:a16="http://schemas.microsoft.com/office/drawing/2014/main" id="{BEC2724F-2FBC-6342-BB30-E73FF852F48E}"/>
                </a:ext>
              </a:extLst>
            </xdr:cNvPr>
            <xdr:cNvGraphicFramePr/>
          </xdr:nvGraphicFramePr>
          <xdr:xfrm>
            <a:off x="0" y="0"/>
            <a:ext cx="0" cy="0"/>
          </xdr:xfrm>
          <a:graphic>
            <a:graphicData uri="http://schemas.microsoft.com/office/drawing/2010/slicer">
              <sle:slicer xmlns:sle="http://schemas.microsoft.com/office/drawing/2010/slicer" name="Customer_Segment"/>
            </a:graphicData>
          </a:graphic>
        </xdr:graphicFrame>
      </mc:Choice>
      <mc:Fallback xmlns="">
        <xdr:sp macro="" textlink="">
          <xdr:nvSpPr>
            <xdr:cNvPr id="0" name=""/>
            <xdr:cNvSpPr>
              <a:spLocks noTextEdit="1"/>
            </xdr:cNvSpPr>
          </xdr:nvSpPr>
          <xdr:spPr>
            <a:xfrm>
              <a:off x="224367" y="5768623"/>
              <a:ext cx="2619022" cy="1016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224368</xdr:colOff>
      <xdr:row>36</xdr:row>
      <xdr:rowOff>26812</xdr:rowOff>
    </xdr:from>
    <xdr:to>
      <xdr:col>3</xdr:col>
      <xdr:colOff>366889</xdr:colOff>
      <xdr:row>39</xdr:row>
      <xdr:rowOff>160867</xdr:rowOff>
    </xdr:to>
    <mc:AlternateContent xmlns:mc="http://schemas.openxmlformats.org/markup-compatibility/2006" xmlns:a14="http://schemas.microsoft.com/office/drawing/2010/main">
      <mc:Choice Requires="a14">
        <xdr:graphicFrame macro="">
          <xdr:nvGraphicFramePr>
            <xdr:cNvPr id="10" name="Customer_Status">
              <a:extLst>
                <a:ext uri="{FF2B5EF4-FFF2-40B4-BE49-F238E27FC236}">
                  <a16:creationId xmlns:a16="http://schemas.microsoft.com/office/drawing/2014/main" id="{8E59912D-AE50-7042-BAC0-BFBCC79B8CB8}"/>
                </a:ext>
              </a:extLst>
            </xdr:cNvPr>
            <xdr:cNvGraphicFramePr/>
          </xdr:nvGraphicFramePr>
          <xdr:xfrm>
            <a:off x="0" y="0"/>
            <a:ext cx="0" cy="0"/>
          </xdr:xfrm>
          <a:graphic>
            <a:graphicData uri="http://schemas.microsoft.com/office/drawing/2010/slicer">
              <sle:slicer xmlns:sle="http://schemas.microsoft.com/office/drawing/2010/slicer" name="Customer_Status"/>
            </a:graphicData>
          </a:graphic>
        </xdr:graphicFrame>
      </mc:Choice>
      <mc:Fallback xmlns="">
        <xdr:sp macro="" textlink="">
          <xdr:nvSpPr>
            <xdr:cNvPr id="0" name=""/>
            <xdr:cNvSpPr>
              <a:spLocks noTextEdit="1"/>
            </xdr:cNvSpPr>
          </xdr:nvSpPr>
          <xdr:spPr>
            <a:xfrm>
              <a:off x="224368" y="6884812"/>
              <a:ext cx="2619021" cy="705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519288</xdr:colOff>
      <xdr:row>40</xdr:row>
      <xdr:rowOff>105835</xdr:rowOff>
    </xdr:from>
    <xdr:to>
      <xdr:col>3</xdr:col>
      <xdr:colOff>87488</xdr:colOff>
      <xdr:row>43</xdr:row>
      <xdr:rowOff>80434</xdr:rowOff>
    </xdr:to>
    <xdr:sp macro="" textlink="">
      <xdr:nvSpPr>
        <xdr:cNvPr id="11" name="Rounded Rectangle 10">
          <a:hlinkClick xmlns:r="http://schemas.openxmlformats.org/officeDocument/2006/relationships" r:id="rId4"/>
          <a:extLst>
            <a:ext uri="{FF2B5EF4-FFF2-40B4-BE49-F238E27FC236}">
              <a16:creationId xmlns:a16="http://schemas.microsoft.com/office/drawing/2014/main" id="{E159E29A-E260-0946-1A36-F8E90DD9E78F}"/>
            </a:ext>
          </a:extLst>
        </xdr:cNvPr>
        <xdr:cNvSpPr/>
      </xdr:nvSpPr>
      <xdr:spPr>
        <a:xfrm>
          <a:off x="519288" y="8008057"/>
          <a:ext cx="2065867" cy="567266"/>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800" b="1">
              <a:solidFill>
                <a:schemeClr val="tx1"/>
              </a:solidFill>
            </a:rPr>
            <a:t>REPORTS</a:t>
          </a:r>
        </a:p>
      </xdr:txBody>
    </xdr:sp>
    <xdr:clientData/>
  </xdr:twoCellAnchor>
  <xdr:twoCellAnchor editAs="oneCell">
    <xdr:from>
      <xdr:col>0</xdr:col>
      <xdr:colOff>651934</xdr:colOff>
      <xdr:row>40</xdr:row>
      <xdr:rowOff>183444</xdr:rowOff>
    </xdr:from>
    <xdr:to>
      <xdr:col>1</xdr:col>
      <xdr:colOff>225778</xdr:colOff>
      <xdr:row>43</xdr:row>
      <xdr:rowOff>11288</xdr:rowOff>
    </xdr:to>
    <xdr:pic>
      <xdr:nvPicPr>
        <xdr:cNvPr id="13" name="Graphic 12" descr="Document with solid fill">
          <a:extLst>
            <a:ext uri="{FF2B5EF4-FFF2-40B4-BE49-F238E27FC236}">
              <a16:creationId xmlns:a16="http://schemas.microsoft.com/office/drawing/2014/main" id="{1792C21B-0167-1509-40CB-190DDF962B38}"/>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1934" y="8085666"/>
          <a:ext cx="406400" cy="420511"/>
        </a:xfrm>
        <a:prstGeom prst="rect">
          <a:avLst/>
        </a:prstGeom>
      </xdr:spPr>
    </xdr:pic>
    <xdr:clientData/>
  </xdr:twoCellAnchor>
  <xdr:twoCellAnchor>
    <xdr:from>
      <xdr:col>22</xdr:col>
      <xdr:colOff>81139</xdr:colOff>
      <xdr:row>0</xdr:row>
      <xdr:rowOff>107598</xdr:rowOff>
    </xdr:from>
    <xdr:to>
      <xdr:col>26</xdr:col>
      <xdr:colOff>271638</xdr:colOff>
      <xdr:row>8</xdr:row>
      <xdr:rowOff>79376</xdr:rowOff>
    </xdr:to>
    <xdr:sp macro="" textlink="'Pivot Table'!I7">
      <xdr:nvSpPr>
        <xdr:cNvPr id="3" name="Rounded Rectangle 2">
          <a:extLst>
            <a:ext uri="{FF2B5EF4-FFF2-40B4-BE49-F238E27FC236}">
              <a16:creationId xmlns:a16="http://schemas.microsoft.com/office/drawing/2014/main" id="{3989E700-0D47-D021-2281-FA1A95FC0E31}"/>
            </a:ext>
          </a:extLst>
        </xdr:cNvPr>
        <xdr:cNvSpPr/>
      </xdr:nvSpPr>
      <xdr:spPr>
        <a:xfrm>
          <a:off x="18242139" y="107598"/>
          <a:ext cx="3492499" cy="1495778"/>
        </a:xfrm>
        <a:prstGeom prst="roundRect">
          <a:avLst/>
        </a:prstGeom>
        <a:solidFill>
          <a:srgbClr val="C0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87AB984-3BBF-834E-AD36-0BBDD24F1FA5}" type="TxLink">
            <a:rPr lang="en-US" sz="3600" b="1" i="0" u="none" strike="noStrike">
              <a:solidFill>
                <a:schemeClr val="bg1"/>
              </a:solidFill>
              <a:latin typeface="Calibri"/>
              <a:cs typeface="Calibri"/>
            </a:rPr>
            <a:pPr algn="ctr"/>
            <a:t>14418.34419</a:t>
          </a:fld>
          <a:endParaRPr lang="en-US" sz="3600" b="1">
            <a:solidFill>
              <a:schemeClr val="bg1"/>
            </a:solidFill>
          </a:endParaRPr>
        </a:p>
      </xdr:txBody>
    </xdr:sp>
    <xdr:clientData/>
  </xdr:twoCellAnchor>
  <xdr:twoCellAnchor>
    <xdr:from>
      <xdr:col>8</xdr:col>
      <xdr:colOff>625123</xdr:colOff>
      <xdr:row>0</xdr:row>
      <xdr:rowOff>104776</xdr:rowOff>
    </xdr:from>
    <xdr:to>
      <xdr:col>12</xdr:col>
      <xdr:colOff>822678</xdr:colOff>
      <xdr:row>8</xdr:row>
      <xdr:rowOff>76554</xdr:rowOff>
    </xdr:to>
    <xdr:sp macro="" textlink="'Pivot Table'!F7">
      <xdr:nvSpPr>
        <xdr:cNvPr id="5" name="Rounded Rectangle 4">
          <a:extLst>
            <a:ext uri="{FF2B5EF4-FFF2-40B4-BE49-F238E27FC236}">
              <a16:creationId xmlns:a16="http://schemas.microsoft.com/office/drawing/2014/main" id="{64248026-FF54-E343-9181-90FACFE9B96C}"/>
            </a:ext>
          </a:extLst>
        </xdr:cNvPr>
        <xdr:cNvSpPr/>
      </xdr:nvSpPr>
      <xdr:spPr>
        <a:xfrm>
          <a:off x="7229123" y="104776"/>
          <a:ext cx="3499555" cy="1495778"/>
        </a:xfrm>
        <a:prstGeom prst="roundRect">
          <a:avLst/>
        </a:prstGeom>
        <a:solidFill>
          <a:srgbClr val="C0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42678EF-841C-EC41-88B3-FC9EF5DA3EB9}" type="TxLink">
            <a:rPr lang="en-US" sz="3600" b="1" i="0" u="none" strike="noStrike">
              <a:solidFill>
                <a:schemeClr val="bg1"/>
              </a:solidFill>
              <a:latin typeface="Calibri"/>
              <a:cs typeface="Calibri"/>
            </a:rPr>
            <a:pPr algn="ctr"/>
            <a:t>1000</a:t>
          </a:fld>
          <a:endParaRPr lang="en-US" sz="3600" b="1">
            <a:solidFill>
              <a:schemeClr val="bg1"/>
            </a:solidFill>
          </a:endParaRPr>
        </a:p>
      </xdr:txBody>
    </xdr:sp>
    <xdr:clientData/>
  </xdr:twoCellAnchor>
  <xdr:twoCellAnchor>
    <xdr:from>
      <xdr:col>17</xdr:col>
      <xdr:colOff>613481</xdr:colOff>
      <xdr:row>0</xdr:row>
      <xdr:rowOff>101955</xdr:rowOff>
    </xdr:from>
    <xdr:to>
      <xdr:col>21</xdr:col>
      <xdr:colOff>811035</xdr:colOff>
      <xdr:row>8</xdr:row>
      <xdr:rowOff>73733</xdr:rowOff>
    </xdr:to>
    <xdr:sp macro="" textlink="'Pivot Table'!H7">
      <xdr:nvSpPr>
        <xdr:cNvPr id="12" name="Rounded Rectangle 11">
          <a:extLst>
            <a:ext uri="{FF2B5EF4-FFF2-40B4-BE49-F238E27FC236}">
              <a16:creationId xmlns:a16="http://schemas.microsoft.com/office/drawing/2014/main" id="{89AFBA97-AC3F-1648-9BE4-2BA887BAFF66}"/>
            </a:ext>
          </a:extLst>
        </xdr:cNvPr>
        <xdr:cNvSpPr/>
      </xdr:nvSpPr>
      <xdr:spPr>
        <a:xfrm>
          <a:off x="14646981" y="101955"/>
          <a:ext cx="3499554" cy="1495778"/>
        </a:xfrm>
        <a:prstGeom prst="roundRect">
          <a:avLst/>
        </a:prstGeom>
        <a:solidFill>
          <a:srgbClr val="C0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EE95BB1-DF8C-3749-B2AF-D6F7EB366FAA}" type="TxLink">
            <a:rPr lang="en-US" sz="3600" b="1" i="0" u="none" strike="noStrike">
              <a:solidFill>
                <a:schemeClr val="bg1"/>
              </a:solidFill>
              <a:latin typeface="Calibri"/>
              <a:cs typeface="Calibri"/>
            </a:rPr>
            <a:pPr algn="ctr"/>
            <a:t>4230527</a:t>
          </a:fld>
          <a:endParaRPr lang="en-US" sz="3600" b="1">
            <a:solidFill>
              <a:schemeClr val="bg1"/>
            </a:solidFill>
          </a:endParaRPr>
        </a:p>
      </xdr:txBody>
    </xdr:sp>
    <xdr:clientData/>
  </xdr:twoCellAnchor>
  <xdr:twoCellAnchor>
    <xdr:from>
      <xdr:col>13</xdr:col>
      <xdr:colOff>296685</xdr:colOff>
      <xdr:row>0</xdr:row>
      <xdr:rowOff>93840</xdr:rowOff>
    </xdr:from>
    <xdr:to>
      <xdr:col>17</xdr:col>
      <xdr:colOff>494240</xdr:colOff>
      <xdr:row>8</xdr:row>
      <xdr:rowOff>65618</xdr:rowOff>
    </xdr:to>
    <xdr:sp macro="" textlink="'Pivot Table'!G7">
      <xdr:nvSpPr>
        <xdr:cNvPr id="14" name="Rounded Rectangle 13">
          <a:extLst>
            <a:ext uri="{FF2B5EF4-FFF2-40B4-BE49-F238E27FC236}">
              <a16:creationId xmlns:a16="http://schemas.microsoft.com/office/drawing/2014/main" id="{55852478-369F-3147-911B-DE7E00718B94}"/>
            </a:ext>
          </a:extLst>
        </xdr:cNvPr>
        <xdr:cNvSpPr/>
      </xdr:nvSpPr>
      <xdr:spPr>
        <a:xfrm>
          <a:off x="11028185" y="93840"/>
          <a:ext cx="3499555" cy="1495778"/>
        </a:xfrm>
        <a:prstGeom prst="roundRect">
          <a:avLst/>
        </a:prstGeom>
        <a:solidFill>
          <a:srgbClr val="C0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F9DC486-183A-1E4A-B376-9C1C061FA989}" type="TxLink">
            <a:rPr lang="en-US" sz="3600" b="1" i="0" u="none" strike="noStrike">
              <a:solidFill>
                <a:schemeClr val="bg1"/>
              </a:solidFill>
              <a:latin typeface="Calibri"/>
              <a:ea typeface="+mn-ea"/>
              <a:cs typeface="Calibri"/>
            </a:rPr>
            <a:pPr marL="0" indent="0" algn="ctr"/>
            <a:t>14418344.19</a:t>
          </a:fld>
          <a:endParaRPr lang="en-US" sz="3600" b="1">
            <a:solidFill>
              <a:schemeClr val="bg1"/>
            </a:solidFill>
            <a:latin typeface="+mn-lt"/>
            <a:ea typeface="+mn-ea"/>
            <a:cs typeface="+mn-cs"/>
          </a:endParaRPr>
        </a:p>
      </xdr:txBody>
    </xdr:sp>
    <xdr:clientData/>
  </xdr:twoCellAnchor>
  <xdr:twoCellAnchor>
    <xdr:from>
      <xdr:col>3</xdr:col>
      <xdr:colOff>624417</xdr:colOff>
      <xdr:row>9</xdr:row>
      <xdr:rowOff>0</xdr:rowOff>
    </xdr:from>
    <xdr:to>
      <xdr:col>12</xdr:col>
      <xdr:colOff>652638</xdr:colOff>
      <xdr:row>34</xdr:row>
      <xdr:rowOff>14112</xdr:rowOff>
    </xdr:to>
    <xdr:sp macro="" textlink="">
      <xdr:nvSpPr>
        <xdr:cNvPr id="15" name="Rounded Rectangle 14">
          <a:extLst>
            <a:ext uri="{FF2B5EF4-FFF2-40B4-BE49-F238E27FC236}">
              <a16:creationId xmlns:a16="http://schemas.microsoft.com/office/drawing/2014/main" id="{117F0C59-FC77-6E43-08DA-7553C329D570}"/>
            </a:ext>
          </a:extLst>
        </xdr:cNvPr>
        <xdr:cNvSpPr/>
      </xdr:nvSpPr>
      <xdr:spPr>
        <a:xfrm>
          <a:off x="3100917" y="1714500"/>
          <a:ext cx="7457721" cy="4776612"/>
        </a:xfrm>
        <a:prstGeom prst="roundRect">
          <a:avLst>
            <a:gd name="adj" fmla="val 9224"/>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629710</xdr:colOff>
      <xdr:row>0</xdr:row>
      <xdr:rowOff>95251</xdr:rowOff>
    </xdr:from>
    <xdr:to>
      <xdr:col>8</xdr:col>
      <xdr:colOff>444500</xdr:colOff>
      <xdr:row>8</xdr:row>
      <xdr:rowOff>63501</xdr:rowOff>
    </xdr:to>
    <xdr:sp macro="" textlink="">
      <xdr:nvSpPr>
        <xdr:cNvPr id="16" name="Rounded Rectangle 15">
          <a:extLst>
            <a:ext uri="{FF2B5EF4-FFF2-40B4-BE49-F238E27FC236}">
              <a16:creationId xmlns:a16="http://schemas.microsoft.com/office/drawing/2014/main" id="{B3AD8CC8-418B-3D26-BAA7-173ECF6DF5C7}"/>
            </a:ext>
          </a:extLst>
        </xdr:cNvPr>
        <xdr:cNvSpPr/>
      </xdr:nvSpPr>
      <xdr:spPr>
        <a:xfrm>
          <a:off x="3106210" y="95251"/>
          <a:ext cx="3942290" cy="1492250"/>
        </a:xfrm>
        <a:prstGeom prst="round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4800" b="1"/>
            <a:t>DASBOARD</a:t>
          </a:r>
        </a:p>
      </xdr:txBody>
    </xdr:sp>
    <xdr:clientData/>
  </xdr:twoCellAnchor>
  <xdr:twoCellAnchor>
    <xdr:from>
      <xdr:col>3</xdr:col>
      <xdr:colOff>769760</xdr:colOff>
      <xdr:row>10</xdr:row>
      <xdr:rowOff>0</xdr:rowOff>
    </xdr:from>
    <xdr:to>
      <xdr:col>12</xdr:col>
      <xdr:colOff>462139</xdr:colOff>
      <xdr:row>32</xdr:row>
      <xdr:rowOff>185208</xdr:rowOff>
    </xdr:to>
    <xdr:graphicFrame macro="">
      <xdr:nvGraphicFramePr>
        <xdr:cNvPr id="22" name="Chart 21">
          <a:extLst>
            <a:ext uri="{FF2B5EF4-FFF2-40B4-BE49-F238E27FC236}">
              <a16:creationId xmlns:a16="http://schemas.microsoft.com/office/drawing/2014/main" id="{F50BA6BC-2475-7048-B401-8A5C9F12CA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586315</xdr:colOff>
      <xdr:row>34</xdr:row>
      <xdr:rowOff>173565</xdr:rowOff>
    </xdr:from>
    <xdr:to>
      <xdr:col>9</xdr:col>
      <xdr:colOff>589139</xdr:colOff>
      <xdr:row>50</xdr:row>
      <xdr:rowOff>119945</xdr:rowOff>
    </xdr:to>
    <xdr:sp macro="" textlink="">
      <xdr:nvSpPr>
        <xdr:cNvPr id="23" name="Rounded Rectangle 22">
          <a:extLst>
            <a:ext uri="{FF2B5EF4-FFF2-40B4-BE49-F238E27FC236}">
              <a16:creationId xmlns:a16="http://schemas.microsoft.com/office/drawing/2014/main" id="{605FA518-0A68-944E-853C-2DF37C9EB0BC}"/>
            </a:ext>
          </a:extLst>
        </xdr:cNvPr>
        <xdr:cNvSpPr/>
      </xdr:nvSpPr>
      <xdr:spPr>
        <a:xfrm>
          <a:off x="3062815" y="6650565"/>
          <a:ext cx="4955824" cy="2994380"/>
        </a:xfrm>
        <a:prstGeom prst="roundRect">
          <a:avLst>
            <a:gd name="adj" fmla="val 9224"/>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724604</xdr:colOff>
      <xdr:row>35</xdr:row>
      <xdr:rowOff>105832</xdr:rowOff>
    </xdr:from>
    <xdr:to>
      <xdr:col>9</xdr:col>
      <xdr:colOff>440972</xdr:colOff>
      <xdr:row>49</xdr:row>
      <xdr:rowOff>142875</xdr:rowOff>
    </xdr:to>
    <xdr:graphicFrame macro="">
      <xdr:nvGraphicFramePr>
        <xdr:cNvPr id="24" name="Chart 23">
          <a:extLst>
            <a:ext uri="{FF2B5EF4-FFF2-40B4-BE49-F238E27FC236}">
              <a16:creationId xmlns:a16="http://schemas.microsoft.com/office/drawing/2014/main" id="{F0E0EE90-302E-1F4D-97D6-639E2CBDE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704746</xdr:colOff>
      <xdr:row>34</xdr:row>
      <xdr:rowOff>158750</xdr:rowOff>
    </xdr:from>
    <xdr:to>
      <xdr:col>14</xdr:col>
      <xdr:colOff>467354</xdr:colOff>
      <xdr:row>50</xdr:row>
      <xdr:rowOff>148873</xdr:rowOff>
    </xdr:to>
    <xdr:sp macro="" textlink="">
      <xdr:nvSpPr>
        <xdr:cNvPr id="25" name="Rounded Rectangle 24">
          <a:extLst>
            <a:ext uri="{FF2B5EF4-FFF2-40B4-BE49-F238E27FC236}">
              <a16:creationId xmlns:a16="http://schemas.microsoft.com/office/drawing/2014/main" id="{A8CD81E6-2603-1D47-9653-E354992ABB36}"/>
            </a:ext>
          </a:extLst>
        </xdr:cNvPr>
        <xdr:cNvSpPr/>
      </xdr:nvSpPr>
      <xdr:spPr>
        <a:xfrm>
          <a:off x="8134246" y="6635750"/>
          <a:ext cx="3890108" cy="3038123"/>
        </a:xfrm>
        <a:prstGeom prst="roundRect">
          <a:avLst>
            <a:gd name="adj" fmla="val 9224"/>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8717</xdr:colOff>
      <xdr:row>35</xdr:row>
      <xdr:rowOff>91404</xdr:rowOff>
    </xdr:from>
    <xdr:to>
      <xdr:col>14</xdr:col>
      <xdr:colOff>357079</xdr:colOff>
      <xdr:row>49</xdr:row>
      <xdr:rowOff>79018</xdr:rowOff>
    </xdr:to>
    <xdr:graphicFrame macro="">
      <xdr:nvGraphicFramePr>
        <xdr:cNvPr id="26" name="Chart 25">
          <a:extLst>
            <a:ext uri="{FF2B5EF4-FFF2-40B4-BE49-F238E27FC236}">
              <a16:creationId xmlns:a16="http://schemas.microsoft.com/office/drawing/2014/main" id="{4E6276F0-F186-9448-B249-A150F10014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793750</xdr:colOff>
      <xdr:row>8</xdr:row>
      <xdr:rowOff>142875</xdr:rowOff>
    </xdr:from>
    <xdr:to>
      <xdr:col>20</xdr:col>
      <xdr:colOff>476250</xdr:colOff>
      <xdr:row>33</xdr:row>
      <xdr:rowOff>111125</xdr:rowOff>
    </xdr:to>
    <xdr:sp macro="" textlink="">
      <xdr:nvSpPr>
        <xdr:cNvPr id="27" name="Rounded Rectangle 26">
          <a:extLst>
            <a:ext uri="{FF2B5EF4-FFF2-40B4-BE49-F238E27FC236}">
              <a16:creationId xmlns:a16="http://schemas.microsoft.com/office/drawing/2014/main" id="{EB1318FC-C58E-7843-8408-2990B5391A50}"/>
            </a:ext>
          </a:extLst>
        </xdr:cNvPr>
        <xdr:cNvSpPr/>
      </xdr:nvSpPr>
      <xdr:spPr>
        <a:xfrm>
          <a:off x="10699750" y="1666875"/>
          <a:ext cx="6286500" cy="4730750"/>
        </a:xfrm>
        <a:prstGeom prst="roundRect">
          <a:avLst>
            <a:gd name="adj" fmla="val 9224"/>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617257</xdr:colOff>
      <xdr:row>34</xdr:row>
      <xdr:rowOff>174625</xdr:rowOff>
    </xdr:from>
    <xdr:to>
      <xdr:col>19</xdr:col>
      <xdr:colOff>379866</xdr:colOff>
      <xdr:row>50</xdr:row>
      <xdr:rowOff>171096</xdr:rowOff>
    </xdr:to>
    <xdr:sp macro="" textlink="">
      <xdr:nvSpPr>
        <xdr:cNvPr id="29" name="Rounded Rectangle 28">
          <a:extLst>
            <a:ext uri="{FF2B5EF4-FFF2-40B4-BE49-F238E27FC236}">
              <a16:creationId xmlns:a16="http://schemas.microsoft.com/office/drawing/2014/main" id="{ED4E955A-2E0C-D243-8071-E31E2E54CD23}"/>
            </a:ext>
          </a:extLst>
        </xdr:cNvPr>
        <xdr:cNvSpPr/>
      </xdr:nvSpPr>
      <xdr:spPr>
        <a:xfrm>
          <a:off x="12174257" y="6651625"/>
          <a:ext cx="3890109" cy="3044471"/>
        </a:xfrm>
        <a:prstGeom prst="roundRect">
          <a:avLst>
            <a:gd name="adj" fmla="val 9224"/>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802466</xdr:colOff>
      <xdr:row>35</xdr:row>
      <xdr:rowOff>189086</xdr:rowOff>
    </xdr:from>
    <xdr:to>
      <xdr:col>19</xdr:col>
      <xdr:colOff>190500</xdr:colOff>
      <xdr:row>50</xdr:row>
      <xdr:rowOff>47625</xdr:rowOff>
    </xdr:to>
    <xdr:graphicFrame macro="">
      <xdr:nvGraphicFramePr>
        <xdr:cNvPr id="30" name="Chart 29">
          <a:extLst>
            <a:ext uri="{FF2B5EF4-FFF2-40B4-BE49-F238E27FC236}">
              <a16:creationId xmlns:a16="http://schemas.microsoft.com/office/drawing/2014/main" id="{03E4A5D4-BA61-7C42-8A60-5259D84BD2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595032</xdr:colOff>
      <xdr:row>35</xdr:row>
      <xdr:rowOff>9525</xdr:rowOff>
    </xdr:from>
    <xdr:to>
      <xdr:col>26</xdr:col>
      <xdr:colOff>333375</xdr:colOff>
      <xdr:row>51</xdr:row>
      <xdr:rowOff>15875</xdr:rowOff>
    </xdr:to>
    <xdr:sp macro="" textlink="">
      <xdr:nvSpPr>
        <xdr:cNvPr id="31" name="Rounded Rectangle 30">
          <a:extLst>
            <a:ext uri="{FF2B5EF4-FFF2-40B4-BE49-F238E27FC236}">
              <a16:creationId xmlns:a16="http://schemas.microsoft.com/office/drawing/2014/main" id="{405223B5-5DDF-3F46-82B2-BCD4DB4ACFF1}"/>
            </a:ext>
          </a:extLst>
        </xdr:cNvPr>
        <xdr:cNvSpPr/>
      </xdr:nvSpPr>
      <xdr:spPr>
        <a:xfrm>
          <a:off x="16279532" y="6677025"/>
          <a:ext cx="5516843" cy="3054350"/>
        </a:xfrm>
        <a:prstGeom prst="roundRect">
          <a:avLst>
            <a:gd name="adj" fmla="val 9224"/>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706157</xdr:colOff>
      <xdr:row>35</xdr:row>
      <xdr:rowOff>168275</xdr:rowOff>
    </xdr:from>
    <xdr:to>
      <xdr:col>26</xdr:col>
      <xdr:colOff>174625</xdr:colOff>
      <xdr:row>50</xdr:row>
      <xdr:rowOff>15875</xdr:rowOff>
    </xdr:to>
    <xdr:graphicFrame macro="">
      <xdr:nvGraphicFramePr>
        <xdr:cNvPr id="32" name="Chart 31">
          <a:extLst>
            <a:ext uri="{FF2B5EF4-FFF2-40B4-BE49-F238E27FC236}">
              <a16:creationId xmlns:a16="http://schemas.microsoft.com/office/drawing/2014/main" id="{AB5C359E-014E-F64B-90A6-E31788662F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628649</xdr:colOff>
      <xdr:row>9</xdr:row>
      <xdr:rowOff>15875</xdr:rowOff>
    </xdr:from>
    <xdr:to>
      <xdr:col>26</xdr:col>
      <xdr:colOff>365124</xdr:colOff>
      <xdr:row>34</xdr:row>
      <xdr:rowOff>0</xdr:rowOff>
    </xdr:to>
    <xdr:sp macro="" textlink="">
      <xdr:nvSpPr>
        <xdr:cNvPr id="33" name="Rounded Rectangle 32">
          <a:extLst>
            <a:ext uri="{FF2B5EF4-FFF2-40B4-BE49-F238E27FC236}">
              <a16:creationId xmlns:a16="http://schemas.microsoft.com/office/drawing/2014/main" id="{4BD937B9-244C-4C41-B342-16B852D25024}"/>
            </a:ext>
          </a:extLst>
        </xdr:cNvPr>
        <xdr:cNvSpPr/>
      </xdr:nvSpPr>
      <xdr:spPr>
        <a:xfrm>
          <a:off x="17138649" y="1730375"/>
          <a:ext cx="4689475" cy="4746625"/>
        </a:xfrm>
        <a:prstGeom prst="roundRect">
          <a:avLst>
            <a:gd name="adj" fmla="val 9224"/>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787399</xdr:colOff>
      <xdr:row>10</xdr:row>
      <xdr:rowOff>31749</xdr:rowOff>
    </xdr:from>
    <xdr:to>
      <xdr:col>26</xdr:col>
      <xdr:colOff>158750</xdr:colOff>
      <xdr:row>32</xdr:row>
      <xdr:rowOff>174624</xdr:rowOff>
    </xdr:to>
    <xdr:graphicFrame macro="">
      <xdr:nvGraphicFramePr>
        <xdr:cNvPr id="34" name="Chart 33">
          <a:extLst>
            <a:ext uri="{FF2B5EF4-FFF2-40B4-BE49-F238E27FC236}">
              <a16:creationId xmlns:a16="http://schemas.microsoft.com/office/drawing/2014/main" id="{7B82A714-03AD-5A47-8A35-A083334FEB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344663</xdr:colOff>
      <xdr:row>45</xdr:row>
      <xdr:rowOff>70557</xdr:rowOff>
    </xdr:from>
    <xdr:to>
      <xdr:col>3</xdr:col>
      <xdr:colOff>238125</xdr:colOff>
      <xdr:row>49</xdr:row>
      <xdr:rowOff>95250</xdr:rowOff>
    </xdr:to>
    <xdr:sp macro="" textlink="">
      <xdr:nvSpPr>
        <xdr:cNvPr id="35" name="Rounded Rectangle 34">
          <a:extLst>
            <a:ext uri="{FF2B5EF4-FFF2-40B4-BE49-F238E27FC236}">
              <a16:creationId xmlns:a16="http://schemas.microsoft.com/office/drawing/2014/main" id="{E3E8A787-D34A-9740-92AC-76EBD539C5FA}"/>
            </a:ext>
          </a:extLst>
        </xdr:cNvPr>
        <xdr:cNvSpPr/>
      </xdr:nvSpPr>
      <xdr:spPr>
        <a:xfrm>
          <a:off x="344663" y="8643057"/>
          <a:ext cx="2369962" cy="786693"/>
        </a:xfrm>
        <a:prstGeom prst="roundRect">
          <a:avLst/>
        </a:prstGeom>
        <a:solidFill>
          <a:srgbClr val="C0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bg1"/>
              </a:solidFill>
            </a:rPr>
            <a:t>ANALYSIS</a:t>
          </a:r>
        </a:p>
      </xdr:txBody>
    </xdr:sp>
    <xdr:clientData/>
  </xdr:twoCellAnchor>
  <xdr:twoCellAnchor editAs="oneCell">
    <xdr:from>
      <xdr:col>5</xdr:col>
      <xdr:colOff>539750</xdr:colOff>
      <xdr:row>0</xdr:row>
      <xdr:rowOff>47625</xdr:rowOff>
    </xdr:from>
    <xdr:to>
      <xdr:col>6</xdr:col>
      <xdr:colOff>587375</xdr:colOff>
      <xdr:row>4</xdr:row>
      <xdr:rowOff>158750</xdr:rowOff>
    </xdr:to>
    <xdr:pic>
      <xdr:nvPicPr>
        <xdr:cNvPr id="37" name="Graphic 36" descr="Gauge outline">
          <a:extLst>
            <a:ext uri="{FF2B5EF4-FFF2-40B4-BE49-F238E27FC236}">
              <a16:creationId xmlns:a16="http://schemas.microsoft.com/office/drawing/2014/main" id="{93ACA453-3552-9835-A933-0E61AA7B898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667250" y="47625"/>
          <a:ext cx="873125" cy="873125"/>
        </a:xfrm>
        <a:prstGeom prst="rect">
          <a:avLst/>
        </a:prstGeom>
      </xdr:spPr>
    </xdr:pic>
    <xdr:clientData/>
  </xdr:twoCellAnchor>
  <xdr:twoCellAnchor>
    <xdr:from>
      <xdr:col>0</xdr:col>
      <xdr:colOff>528813</xdr:colOff>
      <xdr:row>5</xdr:row>
      <xdr:rowOff>143583</xdr:rowOff>
    </xdr:from>
    <xdr:to>
      <xdr:col>3</xdr:col>
      <xdr:colOff>79375</xdr:colOff>
      <xdr:row>9</xdr:row>
      <xdr:rowOff>1</xdr:rowOff>
    </xdr:to>
    <xdr:sp macro="" textlink="">
      <xdr:nvSpPr>
        <xdr:cNvPr id="38" name="Rounded Rectangle 37">
          <a:extLst>
            <a:ext uri="{FF2B5EF4-FFF2-40B4-BE49-F238E27FC236}">
              <a16:creationId xmlns:a16="http://schemas.microsoft.com/office/drawing/2014/main" id="{8BB152BF-9DE2-B344-A907-61D1AAB7C23D}"/>
            </a:ext>
          </a:extLst>
        </xdr:cNvPr>
        <xdr:cNvSpPr/>
      </xdr:nvSpPr>
      <xdr:spPr>
        <a:xfrm>
          <a:off x="528813" y="1096083"/>
          <a:ext cx="2027062" cy="618418"/>
        </a:xfrm>
        <a:prstGeom prst="roundRect">
          <a:avLst/>
        </a:prstGeom>
        <a:solidFill>
          <a:srgbClr val="C0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b="1">
              <a:solidFill>
                <a:schemeClr val="bg1"/>
              </a:solidFill>
            </a:rPr>
            <a:t>BANK</a:t>
          </a:r>
        </a:p>
      </xdr:txBody>
    </xdr:sp>
    <xdr:clientData/>
  </xdr:twoCellAnchor>
  <xdr:oneCellAnchor>
    <xdr:from>
      <xdr:col>13</xdr:col>
      <xdr:colOff>317501</xdr:colOff>
      <xdr:row>0</xdr:row>
      <xdr:rowOff>158751</xdr:rowOff>
    </xdr:from>
    <xdr:ext cx="3476624" cy="813941"/>
    <xdr:sp macro="" textlink="">
      <xdr:nvSpPr>
        <xdr:cNvPr id="39" name="TextBox 38">
          <a:extLst>
            <a:ext uri="{FF2B5EF4-FFF2-40B4-BE49-F238E27FC236}">
              <a16:creationId xmlns:a16="http://schemas.microsoft.com/office/drawing/2014/main" id="{255932FD-2DCF-DDA5-1A73-A9A865DCCDA5}"/>
            </a:ext>
          </a:extLst>
        </xdr:cNvPr>
        <xdr:cNvSpPr txBox="1"/>
      </xdr:nvSpPr>
      <xdr:spPr>
        <a:xfrm>
          <a:off x="11049001" y="158751"/>
          <a:ext cx="3476624" cy="8139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400" b="1">
              <a:solidFill>
                <a:schemeClr val="bg1"/>
              </a:solidFill>
              <a:latin typeface="+mj-lt"/>
              <a:cs typeface="Baloo Bhaijaan" panose="03080902040302020200" pitchFamily="66" charset="-78"/>
            </a:rPr>
            <a:t>TOTAL </a:t>
          </a:r>
        </a:p>
        <a:p>
          <a:pPr algn="ctr"/>
          <a:r>
            <a:rPr lang="en-US" sz="2400" b="1">
              <a:solidFill>
                <a:schemeClr val="bg1"/>
              </a:solidFill>
              <a:latin typeface="+mj-lt"/>
              <a:cs typeface="Baloo Bhaijaan" panose="03080902040302020200" pitchFamily="66" charset="-78"/>
            </a:rPr>
            <a:t>TRANSACTION  VALUE</a:t>
          </a:r>
        </a:p>
      </xdr:txBody>
    </xdr:sp>
    <xdr:clientData/>
  </xdr:oneCellAnchor>
  <xdr:oneCellAnchor>
    <xdr:from>
      <xdr:col>17</xdr:col>
      <xdr:colOff>660401</xdr:colOff>
      <xdr:row>0</xdr:row>
      <xdr:rowOff>184151</xdr:rowOff>
    </xdr:from>
    <xdr:ext cx="3514724" cy="813941"/>
    <xdr:sp macro="" textlink="">
      <xdr:nvSpPr>
        <xdr:cNvPr id="40" name="TextBox 39">
          <a:extLst>
            <a:ext uri="{FF2B5EF4-FFF2-40B4-BE49-F238E27FC236}">
              <a16:creationId xmlns:a16="http://schemas.microsoft.com/office/drawing/2014/main" id="{381C14FB-EF34-D145-95AC-6A21DFC79AA7}"/>
            </a:ext>
          </a:extLst>
        </xdr:cNvPr>
        <xdr:cNvSpPr txBox="1"/>
      </xdr:nvSpPr>
      <xdr:spPr>
        <a:xfrm>
          <a:off x="14693901" y="184151"/>
          <a:ext cx="3514724" cy="8139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400" b="1">
              <a:solidFill>
                <a:schemeClr val="bg1"/>
              </a:solidFill>
              <a:latin typeface="+mj-lt"/>
              <a:cs typeface="Baloo Bhaijaan" panose="03080902040302020200" pitchFamily="66" charset="-78"/>
            </a:rPr>
            <a:t>AVERAGE</a:t>
          </a:r>
          <a:r>
            <a:rPr lang="en-US" sz="2400" b="1" baseline="0">
              <a:solidFill>
                <a:schemeClr val="bg1"/>
              </a:solidFill>
              <a:latin typeface="+mj-lt"/>
              <a:cs typeface="Baloo Bhaijaan" panose="03080902040302020200" pitchFamily="66" charset="-78"/>
            </a:rPr>
            <a:t> </a:t>
          </a:r>
        </a:p>
        <a:p>
          <a:pPr algn="ctr"/>
          <a:r>
            <a:rPr lang="en-US" sz="2400" b="1" baseline="0">
              <a:solidFill>
                <a:schemeClr val="bg1"/>
              </a:solidFill>
              <a:latin typeface="+mj-lt"/>
              <a:cs typeface="Baloo Bhaijaan" panose="03080902040302020200" pitchFamily="66" charset="-78"/>
            </a:rPr>
            <a:t>ANNUAL INOME</a:t>
          </a:r>
          <a:r>
            <a:rPr lang="en-US" sz="2400" b="1">
              <a:solidFill>
                <a:schemeClr val="bg1"/>
              </a:solidFill>
              <a:latin typeface="+mj-lt"/>
              <a:cs typeface="Baloo Bhaijaan" panose="03080902040302020200" pitchFamily="66" charset="-78"/>
            </a:rPr>
            <a:t> </a:t>
          </a:r>
        </a:p>
      </xdr:txBody>
    </xdr:sp>
    <xdr:clientData/>
  </xdr:oneCellAnchor>
  <xdr:oneCellAnchor>
    <xdr:from>
      <xdr:col>9</xdr:col>
      <xdr:colOff>34926</xdr:colOff>
      <xdr:row>0</xdr:row>
      <xdr:rowOff>111125</xdr:rowOff>
    </xdr:from>
    <xdr:ext cx="3006724" cy="934230"/>
    <xdr:sp macro="" textlink="">
      <xdr:nvSpPr>
        <xdr:cNvPr id="41" name="TextBox 40">
          <a:extLst>
            <a:ext uri="{FF2B5EF4-FFF2-40B4-BE49-F238E27FC236}">
              <a16:creationId xmlns:a16="http://schemas.microsoft.com/office/drawing/2014/main" id="{72EF35F5-E721-D849-B1DC-AB9B1A0E5450}"/>
            </a:ext>
          </a:extLst>
        </xdr:cNvPr>
        <xdr:cNvSpPr txBox="1"/>
      </xdr:nvSpPr>
      <xdr:spPr>
        <a:xfrm>
          <a:off x="7464426" y="111125"/>
          <a:ext cx="3006724" cy="9342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2800" b="1">
              <a:solidFill>
                <a:schemeClr val="bg1"/>
              </a:solidFill>
              <a:latin typeface="+mj-lt"/>
              <a:cs typeface="Baloo Bhaijaan" panose="03080902040302020200" pitchFamily="66" charset="-78"/>
            </a:rPr>
            <a:t>TOTAL </a:t>
          </a:r>
        </a:p>
        <a:p>
          <a:pPr algn="ctr"/>
          <a:r>
            <a:rPr lang="en-US" sz="2800" b="1">
              <a:solidFill>
                <a:schemeClr val="bg1"/>
              </a:solidFill>
              <a:latin typeface="+mj-lt"/>
              <a:cs typeface="Baloo Bhaijaan" panose="03080902040302020200" pitchFamily="66" charset="-78"/>
            </a:rPr>
            <a:t>CUSTOMERS </a:t>
          </a:r>
        </a:p>
      </xdr:txBody>
    </xdr:sp>
    <xdr:clientData/>
  </xdr:oneCellAnchor>
  <xdr:oneCellAnchor>
    <xdr:from>
      <xdr:col>21</xdr:col>
      <xdr:colOff>806450</xdr:colOff>
      <xdr:row>0</xdr:row>
      <xdr:rowOff>123825</xdr:rowOff>
    </xdr:from>
    <xdr:ext cx="3717925" cy="812799"/>
    <xdr:sp macro="" textlink="">
      <xdr:nvSpPr>
        <xdr:cNvPr id="42" name="TextBox 41">
          <a:extLst>
            <a:ext uri="{FF2B5EF4-FFF2-40B4-BE49-F238E27FC236}">
              <a16:creationId xmlns:a16="http://schemas.microsoft.com/office/drawing/2014/main" id="{F1F262BA-780A-4440-BE47-316AB675A073}"/>
            </a:ext>
          </a:extLst>
        </xdr:cNvPr>
        <xdr:cNvSpPr txBox="1"/>
      </xdr:nvSpPr>
      <xdr:spPr>
        <a:xfrm>
          <a:off x="18141950" y="123825"/>
          <a:ext cx="3717925" cy="812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b="1">
              <a:solidFill>
                <a:schemeClr val="bg1"/>
              </a:solidFill>
              <a:latin typeface="+mj-lt"/>
              <a:cs typeface="Baloo Bhaijaan" panose="03080902040302020200" pitchFamily="66" charset="-78"/>
            </a:rPr>
            <a:t>AVERAGE</a:t>
          </a:r>
          <a:r>
            <a:rPr lang="en-US" sz="2400" b="1" baseline="0">
              <a:solidFill>
                <a:schemeClr val="bg1"/>
              </a:solidFill>
              <a:latin typeface="+mj-lt"/>
              <a:cs typeface="Baloo Bhaijaan" panose="03080902040302020200" pitchFamily="66" charset="-78"/>
            </a:rPr>
            <a:t> </a:t>
          </a:r>
        </a:p>
        <a:p>
          <a:pPr algn="ctr"/>
          <a:r>
            <a:rPr lang="en-US" sz="2400" b="1" baseline="0">
              <a:solidFill>
                <a:schemeClr val="bg1"/>
              </a:solidFill>
              <a:latin typeface="+mj-lt"/>
              <a:cs typeface="Baloo Bhaijaan" panose="03080902040302020200" pitchFamily="66" charset="-78"/>
            </a:rPr>
            <a:t>TRANSACTIONS VALUE</a:t>
          </a:r>
          <a:r>
            <a:rPr lang="en-US" sz="2400" b="1">
              <a:solidFill>
                <a:schemeClr val="bg1"/>
              </a:solidFill>
              <a:latin typeface="+mj-lt"/>
              <a:cs typeface="Baloo Bhaijaan" panose="03080902040302020200" pitchFamily="66" charset="-78"/>
            </a:rPr>
            <a:t> </a:t>
          </a:r>
        </a:p>
      </xdr:txBody>
    </xdr:sp>
    <xdr:clientData/>
  </xdr:oneCellAnchor>
  <xdr:twoCellAnchor>
    <xdr:from>
      <xdr:col>13</xdr:col>
      <xdr:colOff>174625</xdr:colOff>
      <xdr:row>9</xdr:row>
      <xdr:rowOff>174624</xdr:rowOff>
    </xdr:from>
    <xdr:to>
      <xdr:col>20</xdr:col>
      <xdr:colOff>333375</xdr:colOff>
      <xdr:row>32</xdr:row>
      <xdr:rowOff>63499</xdr:rowOff>
    </xdr:to>
    <xdr:graphicFrame macro="">
      <xdr:nvGraphicFramePr>
        <xdr:cNvPr id="43" name="Chart 42">
          <a:extLst>
            <a:ext uri="{FF2B5EF4-FFF2-40B4-BE49-F238E27FC236}">
              <a16:creationId xmlns:a16="http://schemas.microsoft.com/office/drawing/2014/main" id="{1A00BE18-023E-A94C-A6A1-7BB353D03B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647700</xdr:colOff>
      <xdr:row>5</xdr:row>
      <xdr:rowOff>114300</xdr:rowOff>
    </xdr:from>
    <xdr:to>
      <xdr:col>13</xdr:col>
      <xdr:colOff>762000</xdr:colOff>
      <xdr:row>34</xdr:row>
      <xdr:rowOff>63500</xdr:rowOff>
    </xdr:to>
    <xdr:sp macro="" textlink="">
      <xdr:nvSpPr>
        <xdr:cNvPr id="2" name="Rounded Rectangle 1">
          <a:extLst>
            <a:ext uri="{FF2B5EF4-FFF2-40B4-BE49-F238E27FC236}">
              <a16:creationId xmlns:a16="http://schemas.microsoft.com/office/drawing/2014/main" id="{C6585ADB-9146-2E90-146F-1BE466FC6200}"/>
            </a:ext>
          </a:extLst>
        </xdr:cNvPr>
        <xdr:cNvSpPr/>
      </xdr:nvSpPr>
      <xdr:spPr>
        <a:xfrm>
          <a:off x="647700" y="1066800"/>
          <a:ext cx="10845800" cy="5473700"/>
        </a:xfrm>
        <a:prstGeom prst="roundRect">
          <a:avLst/>
        </a:prstGeom>
        <a:solidFill>
          <a:srgbClr val="C0000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0"/>
            <a:t>This HSBC Bank customer and transaction analysis provides an overview of customer behavior, transaction performance, income, employment type, customer segments, products, transaction channels, and account types. The dataset consists of 1,000 customers with a total transaction amount of approximately ₹14.42 million, an average annual income of approximately ₹4.23 million, and an average transaction value of ₹14,418. The analysis shows that Delhi has the highest transaction activity among the cities, while Salaried customers have the highest average annual income. Active customers contribute the majority of transaction value, and Retail Banking is the strongest customer segment. Among products and account types, Fixed Deposit and Savings accounts show strong transaction performance, while Relationship Manager and ATM channels contribute significantly to transaction activity. Overall, the analysis suggests that HSBC can improve business performance by focusing on high-value customers, customer retention, dormant customer reactivation, digital banking adoption, and cross-selling financial products.</a:t>
          </a:r>
        </a:p>
        <a:p>
          <a:pPr marL="0" indent="0" algn="ctr"/>
          <a:endParaRPr lang="en-US" sz="2000" b="1">
            <a:solidFill>
              <a:schemeClr val="lt1"/>
            </a:solidFill>
            <a:latin typeface="+mn-lt"/>
            <a:ea typeface="+mn-ea"/>
            <a:cs typeface="+mn-cs"/>
          </a:endParaRPr>
        </a:p>
      </xdr:txBody>
    </xdr:sp>
    <xdr:clientData/>
  </xdr:twoCellAnchor>
  <xdr:twoCellAnchor>
    <xdr:from>
      <xdr:col>0</xdr:col>
      <xdr:colOff>635000</xdr:colOff>
      <xdr:row>1</xdr:row>
      <xdr:rowOff>127000</xdr:rowOff>
    </xdr:from>
    <xdr:to>
      <xdr:col>3</xdr:col>
      <xdr:colOff>800100</xdr:colOff>
      <xdr:row>4</xdr:row>
      <xdr:rowOff>76200</xdr:rowOff>
    </xdr:to>
    <xdr:sp macro="" textlink="">
      <xdr:nvSpPr>
        <xdr:cNvPr id="3" name="Rounded Rectangle 2">
          <a:extLst>
            <a:ext uri="{FF2B5EF4-FFF2-40B4-BE49-F238E27FC236}">
              <a16:creationId xmlns:a16="http://schemas.microsoft.com/office/drawing/2014/main" id="{858E0C0C-41F2-2442-60FE-49D41860DEF8}"/>
            </a:ext>
          </a:extLst>
        </xdr:cNvPr>
        <xdr:cNvSpPr/>
      </xdr:nvSpPr>
      <xdr:spPr>
        <a:xfrm>
          <a:off x="635000" y="317500"/>
          <a:ext cx="2641600" cy="520700"/>
        </a:xfrm>
        <a:prstGeom prst="roundRect">
          <a:avLst/>
        </a:prstGeom>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2800" b="1"/>
            <a:t>FINAL REPORT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bhav Das" refreshedDate="46273.976118749997" createdVersion="8" refreshedVersion="8" minRefreshableVersion="3" recordCount="1000" xr:uid="{EFE90ADA-ABB5-8B4C-8495-B641F4EDB9CB}">
  <cacheSource type="worksheet">
    <worksheetSource ref="A1:O1001" sheet="DATA"/>
  </cacheSource>
  <cacheFields count="15">
    <cacheField name="ID" numFmtId="0">
      <sharedItems/>
    </cacheField>
    <cacheField name="Customer_Name" numFmtId="0">
      <sharedItems/>
    </cacheField>
    <cacheField name="Age" numFmtId="0">
      <sharedItems containsSemiMixedTypes="0" containsString="0" containsNumber="1" containsInteger="1" minValue="21" maxValue="70"/>
    </cacheField>
    <cacheField name="City" numFmtId="0">
      <sharedItems count="12">
        <s v="Mumbai"/>
        <s v="Hyderabad"/>
        <s v="Guwahati"/>
        <s v="Jaipur"/>
        <s v="Chennai"/>
        <s v="Lucknow"/>
        <s v="Bengaluru"/>
        <s v="Bhubaneswar"/>
        <s v="Ahmedabad"/>
        <s v="Pune"/>
        <s v="Delhi"/>
        <s v="Kolkata"/>
      </sharedItems>
    </cacheField>
    <cacheField name="Customer_Segment" numFmtId="0">
      <sharedItems count="4">
        <s v="Premier Banking"/>
        <s v="Retail Banking"/>
        <s v="Business Banking"/>
        <s v="Wealth Management"/>
      </sharedItems>
    </cacheField>
    <cacheField name="Account_Type" numFmtId="0">
      <sharedItems count="4">
        <s v="Salary"/>
        <s v="Savings"/>
        <s v="Current"/>
        <s v="Premium Savings"/>
      </sharedItems>
    </cacheField>
    <cacheField name="Account_Open_Date" numFmtId="164">
      <sharedItems containsSemiMixedTypes="0" containsNonDate="0" containsDate="1" containsString="0" minDate="2025-01-01T00:00:00" maxDate="2026-09-01T00:00:00"/>
    </cacheField>
    <cacheField name="Employment_Type" numFmtId="0">
      <sharedItems containsBlank="1" count="6">
        <s v="Retired"/>
        <s v="Salaried"/>
        <s v="Self-Employed"/>
        <s v="Professional"/>
        <s v="Business Owner"/>
        <m/>
      </sharedItems>
    </cacheField>
    <cacheField name="Annual_Income_INR" numFmtId="165">
      <sharedItems containsSemiMixedTypes="0" containsString="0" containsNumber="1" containsInteger="1" minValue="250037" maxValue="4497328"/>
    </cacheField>
    <cacheField name="Credit_Score" numFmtId="0">
      <sharedItems containsString="0" containsBlank="1" containsNumber="1" containsInteger="1" minValue="580" maxValue="850"/>
    </cacheField>
    <cacheField name="Product" numFmtId="0">
      <sharedItems count="8">
        <s v="Credit Card"/>
        <s v="Auto Loan"/>
        <s v="Current Account"/>
        <s v="Home Loan"/>
        <s v="Investment"/>
        <s v="Personal Loan"/>
        <s v="Fixed Deposit"/>
        <s v="Savings Account"/>
      </sharedItems>
    </cacheField>
    <cacheField name="Transaction_Channel" numFmtId="0">
      <sharedItems containsBlank="1" count="6">
        <s v="Mobile App"/>
        <s v="Branch"/>
        <s v="Relationship Manager"/>
        <s v="ATM"/>
        <s v="Internet Banking"/>
        <m/>
      </sharedItems>
    </cacheField>
    <cacheField name="Transaction_Count" numFmtId="0">
      <sharedItems containsSemiMixedTypes="0" containsString="0" containsNumber="1" containsInteger="1" minValue="1" maxValue="120"/>
    </cacheField>
    <cacheField name="Transaction_Amount_INR" numFmtId="165">
      <sharedItems containsSemiMixedTypes="0" containsString="0" containsNumber="1" minValue="500" maxValue="220642.03"/>
    </cacheField>
    <cacheField name="Customer_Status" numFmtId="0">
      <sharedItems count="3">
        <s v="Active"/>
        <s v="Dormant"/>
        <s v="Closed"/>
      </sharedItems>
    </cacheField>
  </cacheFields>
  <extLst>
    <ext xmlns:x14="http://schemas.microsoft.com/office/spreadsheetml/2009/9/main" uri="{725AE2AE-9491-48be-B2B4-4EB974FC3084}">
      <x14:pivotCacheDefinition pivotCacheId="13791118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HSBC100001"/>
    <s v="Aarav Patel"/>
    <n v="43"/>
    <x v="0"/>
    <x v="0"/>
    <x v="0"/>
    <d v="2025-04-13T00:00:00"/>
    <x v="0"/>
    <n v="4230527"/>
    <n v="740"/>
    <x v="0"/>
    <x v="0"/>
    <n v="29"/>
    <n v="5102.1499999999996"/>
    <x v="0"/>
  </r>
  <r>
    <s v="HSBC100002"/>
    <s v="Amit Patel"/>
    <n v="23"/>
    <x v="1"/>
    <x v="1"/>
    <x v="1"/>
    <d v="2026-03-12T00:00:00"/>
    <x v="1"/>
    <n v="1170243"/>
    <n v="777"/>
    <x v="1"/>
    <x v="1"/>
    <n v="74"/>
    <n v="4822.08"/>
    <x v="0"/>
  </r>
  <r>
    <s v="HSBC100003"/>
    <s v="Vikram Sharma"/>
    <n v="24"/>
    <x v="1"/>
    <x v="1"/>
    <x v="1"/>
    <d v="2025-09-28T00:00:00"/>
    <x v="2"/>
    <n v="3671103"/>
    <n v="738"/>
    <x v="2"/>
    <x v="1"/>
    <n v="50"/>
    <n v="3389.59"/>
    <x v="0"/>
  </r>
  <r>
    <s v="HSBC100004"/>
    <s v="Aditya Mehta"/>
    <n v="45"/>
    <x v="2"/>
    <x v="1"/>
    <x v="0"/>
    <d v="2025-04-17T00:00:00"/>
    <x v="2"/>
    <n v="3652410"/>
    <n v="659"/>
    <x v="0"/>
    <x v="2"/>
    <n v="112"/>
    <n v="2874.9"/>
    <x v="1"/>
  </r>
  <r>
    <s v="HSBC100005"/>
    <s v="Vikram Gupta"/>
    <n v="67"/>
    <x v="3"/>
    <x v="1"/>
    <x v="2"/>
    <d v="2025-03-13T00:00:00"/>
    <x v="3"/>
    <n v="2586038"/>
    <n v="610"/>
    <x v="2"/>
    <x v="3"/>
    <n v="5"/>
    <n v="61721.47"/>
    <x v="0"/>
  </r>
  <r>
    <s v="HSBC100006"/>
    <s v="Kavya Sen"/>
    <n v="58"/>
    <x v="4"/>
    <x v="1"/>
    <x v="1"/>
    <d v="2025-01-21T00:00:00"/>
    <x v="1"/>
    <n v="1440283"/>
    <n v="691"/>
    <x v="0"/>
    <x v="1"/>
    <n v="72"/>
    <n v="10208.19"/>
    <x v="0"/>
  </r>
  <r>
    <s v="HSBC100007"/>
    <s v="Aditya Mondal"/>
    <n v="35"/>
    <x v="5"/>
    <x v="0"/>
    <x v="0"/>
    <d v="2025-05-02T00:00:00"/>
    <x v="4"/>
    <n v="671001"/>
    <n v="625"/>
    <x v="1"/>
    <x v="2"/>
    <n v="110"/>
    <n v="7607.83"/>
    <x v="0"/>
  </r>
  <r>
    <s v="HSBC100008"/>
    <s v="Aarav Khan"/>
    <n v="41"/>
    <x v="6"/>
    <x v="2"/>
    <x v="2"/>
    <d v="2026-04-12T00:00:00"/>
    <x v="5"/>
    <n v="4146134"/>
    <n v="784"/>
    <x v="3"/>
    <x v="4"/>
    <n v="69"/>
    <n v="5320.49"/>
    <x v="0"/>
  </r>
  <r>
    <s v="HSBC100009"/>
    <s v="Kavya Mehta"/>
    <n v="55"/>
    <x v="4"/>
    <x v="2"/>
    <x v="0"/>
    <d v="2025-08-03T00:00:00"/>
    <x v="1"/>
    <n v="3085309"/>
    <n v="631"/>
    <x v="1"/>
    <x v="3"/>
    <n v="88"/>
    <n v="14049.23"/>
    <x v="0"/>
  </r>
  <r>
    <s v="HSBC100010"/>
    <s v="Vivaan Mondal"/>
    <n v="66"/>
    <x v="2"/>
    <x v="0"/>
    <x v="0"/>
    <d v="2025-11-27T00:00:00"/>
    <x v="1"/>
    <n v="4128016"/>
    <n v="717"/>
    <x v="2"/>
    <x v="1"/>
    <n v="104"/>
    <n v="31692.87"/>
    <x v="0"/>
  </r>
  <r>
    <s v="HSBC100011"/>
    <s v="Pooja Malhotra"/>
    <n v="34"/>
    <x v="2"/>
    <x v="1"/>
    <x v="2"/>
    <d v="2026-04-04T00:00:00"/>
    <x v="1"/>
    <n v="262336"/>
    <n v="653"/>
    <x v="1"/>
    <x v="4"/>
    <n v="57"/>
    <n v="19137.93"/>
    <x v="0"/>
  </r>
  <r>
    <s v="HSBC100012"/>
    <s v="Pooja Chatterjee"/>
    <n v="56"/>
    <x v="5"/>
    <x v="2"/>
    <x v="2"/>
    <d v="2025-03-29T00:00:00"/>
    <x v="2"/>
    <n v="1719204"/>
    <n v="620"/>
    <x v="4"/>
    <x v="2"/>
    <n v="26"/>
    <n v="23568.55"/>
    <x v="0"/>
  </r>
  <r>
    <s v="HSBC100013"/>
    <s v="Meera Roy"/>
    <n v="32"/>
    <x v="7"/>
    <x v="2"/>
    <x v="1"/>
    <d v="2026-01-08T00:00:00"/>
    <x v="3"/>
    <n v="3208963"/>
    <n v="656"/>
    <x v="4"/>
    <x v="1"/>
    <n v="6"/>
    <n v="4837.46"/>
    <x v="0"/>
  </r>
  <r>
    <s v="HSBC100014"/>
    <s v="Varun Sen"/>
    <n v="37"/>
    <x v="4"/>
    <x v="1"/>
    <x v="1"/>
    <d v="2025-04-10T00:00:00"/>
    <x v="2"/>
    <n v="3441319"/>
    <n v="766"/>
    <x v="0"/>
    <x v="1"/>
    <n v="16"/>
    <n v="8916.5499999999993"/>
    <x v="1"/>
  </r>
  <r>
    <s v="HSBC100015"/>
    <s v="Pooja Verma"/>
    <n v="59"/>
    <x v="8"/>
    <x v="2"/>
    <x v="1"/>
    <d v="2025-05-11T00:00:00"/>
    <x v="2"/>
    <n v="2175656"/>
    <n v="631"/>
    <x v="4"/>
    <x v="4"/>
    <n v="60"/>
    <n v="4904.72"/>
    <x v="0"/>
  </r>
  <r>
    <s v="HSBC100016"/>
    <s v="Meera Das"/>
    <n v="29"/>
    <x v="5"/>
    <x v="1"/>
    <x v="2"/>
    <d v="2025-11-05T00:00:00"/>
    <x v="1"/>
    <n v="3229718"/>
    <n v="666"/>
    <x v="5"/>
    <x v="1"/>
    <n v="100"/>
    <n v="10020.450000000001"/>
    <x v="0"/>
  </r>
  <r>
    <s v="HSBC100017"/>
    <s v="Karan Banerjee"/>
    <n v="55"/>
    <x v="2"/>
    <x v="2"/>
    <x v="2"/>
    <d v="2025-12-10T00:00:00"/>
    <x v="1"/>
    <n v="4018553"/>
    <n v="688"/>
    <x v="0"/>
    <x v="0"/>
    <n v="12"/>
    <n v="34071.64"/>
    <x v="0"/>
  </r>
  <r>
    <s v="HSBC100018"/>
    <s v="Karan Sharma"/>
    <n v="33"/>
    <x v="8"/>
    <x v="3"/>
    <x v="1"/>
    <d v="2026-05-07T00:00:00"/>
    <x v="1"/>
    <n v="539372"/>
    <n v="804"/>
    <x v="4"/>
    <x v="1"/>
    <n v="75"/>
    <n v="14205.35"/>
    <x v="0"/>
  </r>
  <r>
    <s v="HSBC100019"/>
    <s v="Nikhil Malhotra"/>
    <n v="35"/>
    <x v="0"/>
    <x v="1"/>
    <x v="1"/>
    <d v="2026-02-18T00:00:00"/>
    <x v="1"/>
    <n v="264429"/>
    <n v="827"/>
    <x v="6"/>
    <x v="3"/>
    <n v="3"/>
    <n v="49417.02"/>
    <x v="0"/>
  </r>
  <r>
    <s v="HSBC100020"/>
    <s v="Nikhil Roy"/>
    <n v="38"/>
    <x v="9"/>
    <x v="2"/>
    <x v="2"/>
    <d v="2026-01-21T00:00:00"/>
    <x v="1"/>
    <n v="1382870"/>
    <n v="648"/>
    <x v="1"/>
    <x v="4"/>
    <n v="63"/>
    <n v="6614.7"/>
    <x v="0"/>
  </r>
  <r>
    <s v="HSBC100021"/>
    <s v="Amit Das"/>
    <n v="53"/>
    <x v="8"/>
    <x v="0"/>
    <x v="1"/>
    <d v="2025-07-11T00:00:00"/>
    <x v="1"/>
    <n v="4396118"/>
    <n v="699"/>
    <x v="7"/>
    <x v="3"/>
    <n v="108"/>
    <n v="3837.94"/>
    <x v="0"/>
  </r>
  <r>
    <s v="HSBC100022"/>
    <s v="Aarav Verma"/>
    <n v="26"/>
    <x v="7"/>
    <x v="3"/>
    <x v="0"/>
    <d v="2025-10-04T00:00:00"/>
    <x v="1"/>
    <n v="1124506"/>
    <n v="646"/>
    <x v="1"/>
    <x v="2"/>
    <n v="64"/>
    <n v="15332.57"/>
    <x v="0"/>
  </r>
  <r>
    <s v="HSBC100023"/>
    <s v="Rohan Roy"/>
    <n v="47"/>
    <x v="1"/>
    <x v="1"/>
    <x v="1"/>
    <d v="2025-06-10T00:00:00"/>
    <x v="1"/>
    <n v="3726808"/>
    <n v="640"/>
    <x v="4"/>
    <x v="3"/>
    <n v="62"/>
    <n v="10145.66"/>
    <x v="0"/>
  </r>
  <r>
    <s v="HSBC100024"/>
    <s v="Ananya Banerjee"/>
    <n v="43"/>
    <x v="4"/>
    <x v="2"/>
    <x v="2"/>
    <d v="2026-04-05T00:00:00"/>
    <x v="1"/>
    <n v="3607707"/>
    <n v="770"/>
    <x v="3"/>
    <x v="0"/>
    <n v="101"/>
    <n v="12567.1"/>
    <x v="0"/>
  </r>
  <r>
    <s v="HSBC100025"/>
    <s v="Vivaan Mondal"/>
    <n v="47"/>
    <x v="7"/>
    <x v="1"/>
    <x v="3"/>
    <d v="2025-11-10T00:00:00"/>
    <x v="1"/>
    <n v="1093810"/>
    <n v="768"/>
    <x v="2"/>
    <x v="0"/>
    <n v="6"/>
    <n v="10741.62"/>
    <x v="0"/>
  </r>
  <r>
    <s v="HSBC100026"/>
    <s v="Ishita Roy"/>
    <n v="54"/>
    <x v="3"/>
    <x v="1"/>
    <x v="1"/>
    <d v="2025-01-22T00:00:00"/>
    <x v="1"/>
    <n v="4481614"/>
    <m/>
    <x v="7"/>
    <x v="3"/>
    <n v="19"/>
    <n v="5384.85"/>
    <x v="0"/>
  </r>
  <r>
    <s v="HSBC100027"/>
    <s v="Rohan Sen"/>
    <n v="66"/>
    <x v="10"/>
    <x v="1"/>
    <x v="1"/>
    <d v="2025-09-10T00:00:00"/>
    <x v="3"/>
    <n v="457500"/>
    <n v="675"/>
    <x v="0"/>
    <x v="2"/>
    <n v="18"/>
    <n v="10998.6"/>
    <x v="0"/>
  </r>
  <r>
    <s v="HSBC100028"/>
    <s v="Rahul Malhotra"/>
    <n v="58"/>
    <x v="2"/>
    <x v="3"/>
    <x v="1"/>
    <d v="2026-07-15T00:00:00"/>
    <x v="3"/>
    <n v="1341014"/>
    <n v="842"/>
    <x v="3"/>
    <x v="1"/>
    <n v="80"/>
    <n v="24885.46"/>
    <x v="0"/>
  </r>
  <r>
    <s v="HSBC100029"/>
    <s v="Neha Das"/>
    <n v="34"/>
    <x v="5"/>
    <x v="2"/>
    <x v="2"/>
    <d v="2026-04-20T00:00:00"/>
    <x v="4"/>
    <n v="3112750"/>
    <n v="676"/>
    <x v="1"/>
    <x v="0"/>
    <n v="87"/>
    <n v="27720.1"/>
    <x v="0"/>
  </r>
  <r>
    <s v="HSBC100030"/>
    <s v="Ishita Mondal"/>
    <n v="56"/>
    <x v="6"/>
    <x v="2"/>
    <x v="2"/>
    <d v="2025-02-28T00:00:00"/>
    <x v="1"/>
    <n v="2311439"/>
    <n v="692"/>
    <x v="4"/>
    <x v="3"/>
    <n v="43"/>
    <n v="5356.19"/>
    <x v="0"/>
  </r>
  <r>
    <s v="HSBC100031"/>
    <s v="Varun Banerjee"/>
    <n v="28"/>
    <x v="3"/>
    <x v="3"/>
    <x v="1"/>
    <d v="2026-05-26T00:00:00"/>
    <x v="4"/>
    <n v="2828305"/>
    <n v="704"/>
    <x v="0"/>
    <x v="3"/>
    <n v="101"/>
    <n v="11413.55"/>
    <x v="0"/>
  </r>
  <r>
    <s v="HSBC100032"/>
    <s v="Ishita Mehta"/>
    <n v="55"/>
    <x v="1"/>
    <x v="1"/>
    <x v="2"/>
    <d v="2026-04-21T00:00:00"/>
    <x v="4"/>
    <n v="2110966"/>
    <n v="711"/>
    <x v="0"/>
    <x v="3"/>
    <n v="73"/>
    <n v="42233.4"/>
    <x v="0"/>
  </r>
  <r>
    <s v="HSBC100033"/>
    <s v="Sanjay Banerjee"/>
    <n v="39"/>
    <x v="8"/>
    <x v="1"/>
    <x v="3"/>
    <d v="2025-07-09T00:00:00"/>
    <x v="4"/>
    <n v="1505950"/>
    <n v="700"/>
    <x v="6"/>
    <x v="1"/>
    <n v="3"/>
    <n v="5479.2"/>
    <x v="0"/>
  </r>
  <r>
    <s v="HSBC100034"/>
    <s v="Pooja Patel"/>
    <n v="50"/>
    <x v="9"/>
    <x v="1"/>
    <x v="1"/>
    <d v="2026-07-17T00:00:00"/>
    <x v="1"/>
    <n v="4077233"/>
    <n v="776"/>
    <x v="6"/>
    <x v="4"/>
    <n v="72"/>
    <n v="4528.21"/>
    <x v="0"/>
  </r>
  <r>
    <s v="HSBC100035"/>
    <s v="Sanjay Das"/>
    <n v="34"/>
    <x v="7"/>
    <x v="1"/>
    <x v="1"/>
    <d v="2026-07-21T00:00:00"/>
    <x v="2"/>
    <n v="1800531"/>
    <n v="701"/>
    <x v="4"/>
    <x v="2"/>
    <n v="38"/>
    <n v="20622.189999999999"/>
    <x v="0"/>
  </r>
  <r>
    <s v="HSBC100036"/>
    <s v="Nikhil Sharma"/>
    <n v="40"/>
    <x v="0"/>
    <x v="1"/>
    <x v="0"/>
    <d v="2025-09-01T00:00:00"/>
    <x v="3"/>
    <n v="3946458"/>
    <n v="839"/>
    <x v="4"/>
    <x v="4"/>
    <n v="68"/>
    <n v="17152.64"/>
    <x v="0"/>
  </r>
  <r>
    <s v="HSBC100037"/>
    <s v="Pooja Singh"/>
    <n v="69"/>
    <x v="10"/>
    <x v="1"/>
    <x v="2"/>
    <d v="2026-05-20T00:00:00"/>
    <x v="5"/>
    <n v="3683468"/>
    <n v="618"/>
    <x v="5"/>
    <x v="2"/>
    <n v="76"/>
    <n v="3718.87"/>
    <x v="0"/>
  </r>
  <r>
    <s v="HSBC100038"/>
    <s v="Vikram Das"/>
    <n v="45"/>
    <x v="11"/>
    <x v="1"/>
    <x v="3"/>
    <d v="2025-05-11T00:00:00"/>
    <x v="2"/>
    <n v="1865270"/>
    <n v="633"/>
    <x v="6"/>
    <x v="2"/>
    <n v="44"/>
    <n v="2060.2199999999998"/>
    <x v="0"/>
  </r>
  <r>
    <s v="HSBC100039"/>
    <s v="Sneha Singh"/>
    <n v="60"/>
    <x v="3"/>
    <x v="1"/>
    <x v="2"/>
    <d v="2026-04-30T00:00:00"/>
    <x v="1"/>
    <n v="1339100"/>
    <n v="740"/>
    <x v="2"/>
    <x v="3"/>
    <n v="95"/>
    <n v="11182.82"/>
    <x v="0"/>
  </r>
  <r>
    <s v="HSBC100040"/>
    <s v="Karan Singh"/>
    <n v="44"/>
    <x v="9"/>
    <x v="1"/>
    <x v="0"/>
    <d v="2025-01-21T00:00:00"/>
    <x v="2"/>
    <n v="2457312"/>
    <n v="779"/>
    <x v="7"/>
    <x v="0"/>
    <n v="89"/>
    <n v="5770.26"/>
    <x v="0"/>
  </r>
  <r>
    <s v="HSBC100041"/>
    <s v="Ananya Nair"/>
    <n v="34"/>
    <x v="11"/>
    <x v="1"/>
    <x v="1"/>
    <d v="2025-06-16T00:00:00"/>
    <x v="1"/>
    <n v="818933"/>
    <n v="595"/>
    <x v="0"/>
    <x v="3"/>
    <n v="117"/>
    <n v="1528.01"/>
    <x v="0"/>
  </r>
  <r>
    <s v="HSBC100042"/>
    <s v="Arjun Banerjee"/>
    <n v="46"/>
    <x v="10"/>
    <x v="3"/>
    <x v="0"/>
    <d v="2025-10-01T00:00:00"/>
    <x v="2"/>
    <n v="634903"/>
    <n v="752"/>
    <x v="6"/>
    <x v="1"/>
    <n v="80"/>
    <n v="4352.2"/>
    <x v="0"/>
  </r>
  <r>
    <s v="HSBC100043"/>
    <s v="Sneha Das"/>
    <n v="58"/>
    <x v="6"/>
    <x v="2"/>
    <x v="3"/>
    <d v="2026-01-23T00:00:00"/>
    <x v="1"/>
    <n v="4319604"/>
    <n v="827"/>
    <x v="4"/>
    <x v="2"/>
    <n v="63"/>
    <n v="16860.689999999999"/>
    <x v="0"/>
  </r>
  <r>
    <s v="HSBC100044"/>
    <s v="Rohan Chatterjee"/>
    <n v="43"/>
    <x v="6"/>
    <x v="3"/>
    <x v="2"/>
    <d v="2026-08-24T00:00:00"/>
    <x v="1"/>
    <n v="1031608"/>
    <n v="797"/>
    <x v="5"/>
    <x v="0"/>
    <n v="42"/>
    <n v="7638.98"/>
    <x v="0"/>
  </r>
  <r>
    <s v="HSBC100045"/>
    <s v="Rahul Das"/>
    <n v="42"/>
    <x v="4"/>
    <x v="1"/>
    <x v="1"/>
    <d v="2025-11-12T00:00:00"/>
    <x v="1"/>
    <n v="1416026"/>
    <n v="666"/>
    <x v="4"/>
    <x v="2"/>
    <n v="64"/>
    <n v="46370.06"/>
    <x v="0"/>
  </r>
  <r>
    <s v="HSBC100046"/>
    <s v="Priya Roy"/>
    <n v="68"/>
    <x v="10"/>
    <x v="1"/>
    <x v="1"/>
    <d v="2025-01-14T00:00:00"/>
    <x v="2"/>
    <n v="2018407"/>
    <n v="661"/>
    <x v="4"/>
    <x v="2"/>
    <n v="54"/>
    <n v="1000.65"/>
    <x v="0"/>
  </r>
  <r>
    <s v="HSBC100047"/>
    <s v="Neha Gupta"/>
    <n v="39"/>
    <x v="10"/>
    <x v="2"/>
    <x v="1"/>
    <d v="2025-08-30T00:00:00"/>
    <x v="1"/>
    <n v="1790710"/>
    <n v="641"/>
    <x v="4"/>
    <x v="3"/>
    <n v="78"/>
    <n v="36493.589999999997"/>
    <x v="0"/>
  </r>
  <r>
    <s v="HSBC100048"/>
    <s v="Vivaan Sharma"/>
    <n v="66"/>
    <x v="11"/>
    <x v="1"/>
    <x v="1"/>
    <d v="2025-12-12T00:00:00"/>
    <x v="2"/>
    <n v="3596386"/>
    <n v="621"/>
    <x v="1"/>
    <x v="0"/>
    <n v="77"/>
    <n v="6241.04"/>
    <x v="0"/>
  </r>
  <r>
    <s v="HSBC100049"/>
    <s v="Rohan Singh"/>
    <n v="23"/>
    <x v="9"/>
    <x v="1"/>
    <x v="1"/>
    <d v="2026-07-19T00:00:00"/>
    <x v="4"/>
    <n v="3673082"/>
    <n v="591"/>
    <x v="7"/>
    <x v="0"/>
    <n v="105"/>
    <n v="5362.35"/>
    <x v="0"/>
  </r>
  <r>
    <s v="HSBC100050"/>
    <s v="Rahul Banerjee"/>
    <n v="62"/>
    <x v="7"/>
    <x v="1"/>
    <x v="2"/>
    <d v="2025-12-06T00:00:00"/>
    <x v="1"/>
    <n v="4362742"/>
    <n v="813"/>
    <x v="6"/>
    <x v="2"/>
    <n v="71"/>
    <n v="1756.8"/>
    <x v="0"/>
  </r>
  <r>
    <s v="HSBC100051"/>
    <s v="Ishita Patel"/>
    <n v="39"/>
    <x v="5"/>
    <x v="1"/>
    <x v="2"/>
    <d v="2025-04-02T00:00:00"/>
    <x v="1"/>
    <n v="1817043"/>
    <n v="710"/>
    <x v="0"/>
    <x v="0"/>
    <n v="76"/>
    <n v="14593.56"/>
    <x v="0"/>
  </r>
  <r>
    <s v="HSBC100052"/>
    <s v="Priya Gupta"/>
    <n v="29"/>
    <x v="11"/>
    <x v="1"/>
    <x v="1"/>
    <d v="2026-01-02T00:00:00"/>
    <x v="1"/>
    <n v="1449728"/>
    <n v="694"/>
    <x v="1"/>
    <x v="0"/>
    <n v="37"/>
    <n v="1315.41"/>
    <x v="0"/>
  </r>
  <r>
    <s v="HSBC100053"/>
    <s v="Rahul Chatterjee"/>
    <n v="48"/>
    <x v="0"/>
    <x v="1"/>
    <x v="2"/>
    <d v="2026-03-31T00:00:00"/>
    <x v="3"/>
    <n v="1793992"/>
    <n v="797"/>
    <x v="4"/>
    <x v="3"/>
    <n v="114"/>
    <n v="21137.39"/>
    <x v="0"/>
  </r>
  <r>
    <s v="HSBC100054"/>
    <s v="Vikram Das"/>
    <n v="40"/>
    <x v="6"/>
    <x v="0"/>
    <x v="1"/>
    <d v="2026-03-04T00:00:00"/>
    <x v="2"/>
    <n v="2531636"/>
    <n v="716"/>
    <x v="2"/>
    <x v="4"/>
    <n v="4"/>
    <n v="1827.98"/>
    <x v="0"/>
  </r>
  <r>
    <s v="HSBC100055"/>
    <s v="Ishita Iyer"/>
    <n v="65"/>
    <x v="6"/>
    <x v="1"/>
    <x v="1"/>
    <d v="2026-05-24T00:00:00"/>
    <x v="1"/>
    <n v="2209484"/>
    <n v="685"/>
    <x v="0"/>
    <x v="1"/>
    <n v="2"/>
    <n v="2157.08"/>
    <x v="0"/>
  </r>
  <r>
    <s v="HSBC100056"/>
    <s v="Karan Banerjee"/>
    <n v="27"/>
    <x v="4"/>
    <x v="1"/>
    <x v="1"/>
    <d v="2025-02-04T00:00:00"/>
    <x v="1"/>
    <n v="3193430"/>
    <n v="758"/>
    <x v="1"/>
    <x v="4"/>
    <n v="99"/>
    <n v="2563.75"/>
    <x v="0"/>
  </r>
  <r>
    <s v="HSBC100057"/>
    <s v="Sneha Sharma"/>
    <n v="34"/>
    <x v="7"/>
    <x v="2"/>
    <x v="2"/>
    <d v="2025-07-25T00:00:00"/>
    <x v="2"/>
    <n v="3461208"/>
    <n v="595"/>
    <x v="2"/>
    <x v="0"/>
    <n v="44"/>
    <n v="4222.8"/>
    <x v="0"/>
  </r>
  <r>
    <s v="HSBC100058"/>
    <s v="Pooja Malhotra"/>
    <n v="29"/>
    <x v="0"/>
    <x v="1"/>
    <x v="1"/>
    <d v="2025-03-22T00:00:00"/>
    <x v="3"/>
    <n v="1017128"/>
    <n v="821"/>
    <x v="2"/>
    <x v="2"/>
    <n v="67"/>
    <n v="24081.03"/>
    <x v="0"/>
  </r>
  <r>
    <s v="HSBC100059"/>
    <s v="Vivaan Khan"/>
    <n v="39"/>
    <x v="6"/>
    <x v="1"/>
    <x v="1"/>
    <d v="2026-07-16T00:00:00"/>
    <x v="3"/>
    <n v="2581774"/>
    <n v="805"/>
    <x v="7"/>
    <x v="1"/>
    <n v="68"/>
    <n v="43440.800000000003"/>
    <x v="0"/>
  </r>
  <r>
    <s v="HSBC100060"/>
    <s v="Ananya Sharma"/>
    <n v="67"/>
    <x v="11"/>
    <x v="2"/>
    <x v="1"/>
    <d v="2026-01-23T00:00:00"/>
    <x v="2"/>
    <n v="684368"/>
    <n v="821"/>
    <x v="0"/>
    <x v="1"/>
    <n v="102"/>
    <n v="4706.8599999999997"/>
    <x v="0"/>
  </r>
  <r>
    <s v="HSBC100061"/>
    <s v="Nikhil Sen"/>
    <n v="34"/>
    <x v="0"/>
    <x v="1"/>
    <x v="0"/>
    <d v="2025-01-02T00:00:00"/>
    <x v="1"/>
    <n v="3816194"/>
    <n v="720"/>
    <x v="6"/>
    <x v="2"/>
    <n v="76"/>
    <n v="8527.99"/>
    <x v="0"/>
  </r>
  <r>
    <s v="HSBC100062"/>
    <s v="Arjun Mondal"/>
    <n v="58"/>
    <x v="11"/>
    <x v="1"/>
    <x v="1"/>
    <d v="2026-01-25T00:00:00"/>
    <x v="1"/>
    <n v="2170773"/>
    <n v="778"/>
    <x v="6"/>
    <x v="1"/>
    <n v="83"/>
    <n v="14979.13"/>
    <x v="1"/>
  </r>
  <r>
    <s v="HSBC100063"/>
    <s v="Ananya Mehta"/>
    <n v="56"/>
    <x v="5"/>
    <x v="1"/>
    <x v="2"/>
    <d v="2026-07-20T00:00:00"/>
    <x v="1"/>
    <n v="3084523"/>
    <n v="691"/>
    <x v="5"/>
    <x v="2"/>
    <n v="74"/>
    <n v="6337.39"/>
    <x v="0"/>
  </r>
  <r>
    <s v="HSBC100064"/>
    <s v="Ananya Malhotra"/>
    <n v="60"/>
    <x v="5"/>
    <x v="1"/>
    <x v="0"/>
    <d v="2025-04-16T00:00:00"/>
    <x v="1"/>
    <n v="1417498"/>
    <n v="706"/>
    <x v="1"/>
    <x v="1"/>
    <n v="62"/>
    <n v="14375.71"/>
    <x v="0"/>
  </r>
  <r>
    <s v="HSBC100065"/>
    <s v="Arjun Sharma"/>
    <n v="37"/>
    <x v="6"/>
    <x v="0"/>
    <x v="0"/>
    <d v="2026-04-22T00:00:00"/>
    <x v="1"/>
    <n v="766576"/>
    <n v="600"/>
    <x v="5"/>
    <x v="4"/>
    <n v="1"/>
    <n v="8917.02"/>
    <x v="0"/>
  </r>
  <r>
    <s v="HSBC100066"/>
    <s v="Karan Mehta"/>
    <n v="50"/>
    <x v="6"/>
    <x v="2"/>
    <x v="3"/>
    <d v="2026-02-06T00:00:00"/>
    <x v="1"/>
    <n v="4041296"/>
    <n v="726"/>
    <x v="3"/>
    <x v="1"/>
    <n v="17"/>
    <n v="6862.77"/>
    <x v="0"/>
  </r>
  <r>
    <s v="HSBC100067"/>
    <s v="Aditya Gupta"/>
    <n v="29"/>
    <x v="9"/>
    <x v="1"/>
    <x v="1"/>
    <d v="2026-07-10T00:00:00"/>
    <x v="1"/>
    <n v="1738204"/>
    <n v="668"/>
    <x v="6"/>
    <x v="3"/>
    <n v="16"/>
    <n v="2016.65"/>
    <x v="0"/>
  </r>
  <r>
    <s v="HSBC100068"/>
    <s v="Vivaan Patel"/>
    <n v="53"/>
    <x v="5"/>
    <x v="0"/>
    <x v="1"/>
    <d v="2025-06-11T00:00:00"/>
    <x v="0"/>
    <n v="3183811"/>
    <n v="782"/>
    <x v="1"/>
    <x v="2"/>
    <n v="9"/>
    <n v="10472.370000000001"/>
    <x v="0"/>
  </r>
  <r>
    <s v="HSBC100069"/>
    <s v="Kavya Mehta"/>
    <n v="45"/>
    <x v="7"/>
    <x v="1"/>
    <x v="3"/>
    <d v="2025-07-21T00:00:00"/>
    <x v="2"/>
    <n v="4083538"/>
    <n v="664"/>
    <x v="7"/>
    <x v="1"/>
    <n v="53"/>
    <n v="24496.720000000001"/>
    <x v="0"/>
  </r>
  <r>
    <s v="HSBC100070"/>
    <s v="Rohan Mehta"/>
    <n v="34"/>
    <x v="7"/>
    <x v="1"/>
    <x v="1"/>
    <d v="2025-09-27T00:00:00"/>
    <x v="3"/>
    <n v="2420856"/>
    <n v="746"/>
    <x v="5"/>
    <x v="2"/>
    <n v="73"/>
    <n v="3955.29"/>
    <x v="0"/>
  </r>
  <r>
    <s v="HSBC100071"/>
    <s v="Aarav Banerjee"/>
    <n v="31"/>
    <x v="3"/>
    <x v="0"/>
    <x v="2"/>
    <d v="2025-09-28T00:00:00"/>
    <x v="4"/>
    <n v="781149"/>
    <n v="651"/>
    <x v="7"/>
    <x v="3"/>
    <n v="59"/>
    <n v="1133.78"/>
    <x v="0"/>
  </r>
  <r>
    <s v="HSBC100072"/>
    <s v="Arjun Verma"/>
    <n v="55"/>
    <x v="3"/>
    <x v="1"/>
    <x v="0"/>
    <d v="2026-04-01T00:00:00"/>
    <x v="1"/>
    <n v="488366"/>
    <n v="588"/>
    <x v="7"/>
    <x v="1"/>
    <n v="119"/>
    <n v="6402.68"/>
    <x v="0"/>
  </r>
  <r>
    <s v="HSBC100073"/>
    <s v="Varun Mondal"/>
    <n v="61"/>
    <x v="4"/>
    <x v="1"/>
    <x v="0"/>
    <d v="2026-04-07T00:00:00"/>
    <x v="4"/>
    <n v="1115718"/>
    <n v="837"/>
    <x v="4"/>
    <x v="1"/>
    <n v="9"/>
    <n v="43706.81"/>
    <x v="0"/>
  </r>
  <r>
    <s v="HSBC100074"/>
    <s v="Aditya Roy"/>
    <n v="34"/>
    <x v="5"/>
    <x v="1"/>
    <x v="3"/>
    <d v="2025-09-09T00:00:00"/>
    <x v="1"/>
    <n v="318515"/>
    <n v="817"/>
    <x v="4"/>
    <x v="3"/>
    <n v="12"/>
    <n v="31969.81"/>
    <x v="0"/>
  </r>
  <r>
    <s v="HSBC100075"/>
    <s v="Ananya Sharma"/>
    <n v="50"/>
    <x v="11"/>
    <x v="1"/>
    <x v="3"/>
    <d v="2025-10-23T00:00:00"/>
    <x v="2"/>
    <n v="666740"/>
    <n v="599"/>
    <x v="7"/>
    <x v="3"/>
    <n v="119"/>
    <n v="4868.37"/>
    <x v="0"/>
  </r>
  <r>
    <s v="HSBC100076"/>
    <s v="Sneha Chatterjee"/>
    <n v="61"/>
    <x v="11"/>
    <x v="1"/>
    <x v="0"/>
    <d v="2025-12-04T00:00:00"/>
    <x v="1"/>
    <n v="2616361"/>
    <n v="812"/>
    <x v="5"/>
    <x v="3"/>
    <n v="41"/>
    <n v="14447.7"/>
    <x v="1"/>
  </r>
  <r>
    <s v="HSBC100077"/>
    <s v="Vivaan Singh"/>
    <n v="24"/>
    <x v="1"/>
    <x v="2"/>
    <x v="1"/>
    <d v="2025-02-22T00:00:00"/>
    <x v="0"/>
    <n v="2143884"/>
    <n v="800"/>
    <x v="4"/>
    <x v="2"/>
    <n v="15"/>
    <n v="17055.419999999998"/>
    <x v="0"/>
  </r>
  <r>
    <s v="HSBC100078"/>
    <s v="Vivaan Sen"/>
    <n v="24"/>
    <x v="0"/>
    <x v="1"/>
    <x v="0"/>
    <d v="2025-08-05T00:00:00"/>
    <x v="1"/>
    <n v="1191208"/>
    <n v="596"/>
    <x v="3"/>
    <x v="3"/>
    <n v="66"/>
    <n v="42824.05"/>
    <x v="0"/>
  </r>
  <r>
    <s v="HSBC100079"/>
    <s v="Neha Singh"/>
    <n v="48"/>
    <x v="8"/>
    <x v="1"/>
    <x v="1"/>
    <d v="2025-07-07T00:00:00"/>
    <x v="1"/>
    <n v="3532422"/>
    <n v="668"/>
    <x v="2"/>
    <x v="2"/>
    <n v="75"/>
    <n v="1757.92"/>
    <x v="0"/>
  </r>
  <r>
    <s v="HSBC100080"/>
    <s v="Vikram Sharma"/>
    <n v="28"/>
    <x v="3"/>
    <x v="1"/>
    <x v="1"/>
    <d v="2026-01-15T00:00:00"/>
    <x v="3"/>
    <n v="3217381"/>
    <n v="775"/>
    <x v="2"/>
    <x v="4"/>
    <n v="11"/>
    <n v="2915.31"/>
    <x v="0"/>
  </r>
  <r>
    <s v="HSBC100081"/>
    <s v="Aarav Singh"/>
    <n v="22"/>
    <x v="6"/>
    <x v="2"/>
    <x v="3"/>
    <d v="2026-05-08T00:00:00"/>
    <x v="1"/>
    <n v="2588692"/>
    <n v="663"/>
    <x v="4"/>
    <x v="1"/>
    <n v="8"/>
    <n v="1085.46"/>
    <x v="0"/>
  </r>
  <r>
    <s v="HSBC100082"/>
    <s v="Ananya Mehta"/>
    <n v="61"/>
    <x v="4"/>
    <x v="0"/>
    <x v="1"/>
    <d v="2025-02-10T00:00:00"/>
    <x v="2"/>
    <n v="2310035"/>
    <n v="666"/>
    <x v="5"/>
    <x v="1"/>
    <n v="55"/>
    <n v="4392.57"/>
    <x v="0"/>
  </r>
  <r>
    <s v="HSBC100083"/>
    <s v="Priya Singh"/>
    <n v="66"/>
    <x v="7"/>
    <x v="0"/>
    <x v="1"/>
    <d v="2025-06-06T00:00:00"/>
    <x v="4"/>
    <n v="3364659"/>
    <n v="733"/>
    <x v="2"/>
    <x v="0"/>
    <n v="96"/>
    <n v="27436.26"/>
    <x v="0"/>
  </r>
  <r>
    <s v="HSBC100084"/>
    <s v="Karan Mondal"/>
    <n v="42"/>
    <x v="8"/>
    <x v="2"/>
    <x v="1"/>
    <d v="2025-01-15T00:00:00"/>
    <x v="3"/>
    <n v="1914005"/>
    <n v="807"/>
    <x v="0"/>
    <x v="4"/>
    <n v="6"/>
    <n v="4975.57"/>
    <x v="0"/>
  </r>
  <r>
    <s v="HSBC100085"/>
    <s v="Aditya Das"/>
    <n v="61"/>
    <x v="10"/>
    <x v="2"/>
    <x v="0"/>
    <d v="2025-03-06T00:00:00"/>
    <x v="0"/>
    <n v="1657576"/>
    <n v="843"/>
    <x v="2"/>
    <x v="3"/>
    <n v="53"/>
    <n v="2267.4299999999998"/>
    <x v="1"/>
  </r>
  <r>
    <s v="HSBC100086"/>
    <s v="Rohan Khan"/>
    <n v="36"/>
    <x v="4"/>
    <x v="1"/>
    <x v="2"/>
    <d v="2026-06-05T00:00:00"/>
    <x v="0"/>
    <n v="4271926"/>
    <n v="802"/>
    <x v="6"/>
    <x v="3"/>
    <n v="20"/>
    <n v="11361.3"/>
    <x v="0"/>
  </r>
  <r>
    <s v="HSBC100087"/>
    <s v="Ishita Mondal"/>
    <n v="49"/>
    <x v="10"/>
    <x v="0"/>
    <x v="0"/>
    <d v="2025-12-10T00:00:00"/>
    <x v="1"/>
    <n v="272995"/>
    <n v="700"/>
    <x v="5"/>
    <x v="4"/>
    <n v="39"/>
    <n v="11672.46"/>
    <x v="0"/>
  </r>
  <r>
    <s v="HSBC100088"/>
    <s v="Rahul Das"/>
    <n v="69"/>
    <x v="2"/>
    <x v="2"/>
    <x v="1"/>
    <d v="2025-05-09T00:00:00"/>
    <x v="3"/>
    <n v="1903005"/>
    <n v="752"/>
    <x v="4"/>
    <x v="3"/>
    <n v="99"/>
    <n v="3078.19"/>
    <x v="0"/>
  </r>
  <r>
    <s v="HSBC100089"/>
    <s v="Ishita Mondal"/>
    <n v="68"/>
    <x v="5"/>
    <x v="3"/>
    <x v="0"/>
    <d v="2026-04-17T00:00:00"/>
    <x v="2"/>
    <n v="1962355"/>
    <n v="583"/>
    <x v="4"/>
    <x v="0"/>
    <n v="72"/>
    <n v="5264.03"/>
    <x v="0"/>
  </r>
  <r>
    <s v="HSBC100090"/>
    <s v="Rohan Khan"/>
    <n v="50"/>
    <x v="10"/>
    <x v="2"/>
    <x v="0"/>
    <d v="2025-03-04T00:00:00"/>
    <x v="2"/>
    <n v="691168"/>
    <n v="707"/>
    <x v="2"/>
    <x v="2"/>
    <n v="114"/>
    <n v="10489.24"/>
    <x v="0"/>
  </r>
  <r>
    <s v="HSBC100091"/>
    <s v="Sanjay Iyer"/>
    <n v="32"/>
    <x v="10"/>
    <x v="1"/>
    <x v="1"/>
    <d v="2025-05-19T00:00:00"/>
    <x v="1"/>
    <n v="939197"/>
    <n v="689"/>
    <x v="5"/>
    <x v="1"/>
    <n v="113"/>
    <n v="19600.02"/>
    <x v="0"/>
  </r>
  <r>
    <s v="HSBC100092"/>
    <s v="Sanjay Banerjee"/>
    <n v="55"/>
    <x v="2"/>
    <x v="1"/>
    <x v="1"/>
    <d v="2026-05-14T00:00:00"/>
    <x v="2"/>
    <n v="749471"/>
    <n v="616"/>
    <x v="3"/>
    <x v="4"/>
    <n v="107"/>
    <n v="4530.9399999999996"/>
    <x v="1"/>
  </r>
  <r>
    <s v="HSBC100093"/>
    <s v="Sanjay Verma"/>
    <n v="31"/>
    <x v="9"/>
    <x v="1"/>
    <x v="1"/>
    <d v="2026-08-16T00:00:00"/>
    <x v="0"/>
    <n v="2663911"/>
    <m/>
    <x v="0"/>
    <x v="1"/>
    <n v="34"/>
    <n v="3894.71"/>
    <x v="0"/>
  </r>
  <r>
    <s v="HSBC100094"/>
    <s v="Ishita Nair"/>
    <n v="66"/>
    <x v="9"/>
    <x v="2"/>
    <x v="3"/>
    <d v="2026-01-27T00:00:00"/>
    <x v="3"/>
    <n v="3898984"/>
    <n v="610"/>
    <x v="4"/>
    <x v="2"/>
    <n v="57"/>
    <n v="66714.820000000007"/>
    <x v="0"/>
  </r>
  <r>
    <s v="HSBC100095"/>
    <s v="Meera Mehta"/>
    <n v="70"/>
    <x v="9"/>
    <x v="1"/>
    <x v="2"/>
    <d v="2026-02-23T00:00:00"/>
    <x v="1"/>
    <n v="260514"/>
    <n v="847"/>
    <x v="5"/>
    <x v="4"/>
    <n v="117"/>
    <n v="6716.16"/>
    <x v="0"/>
  </r>
  <r>
    <s v="HSBC100096"/>
    <s v="Nikhil Mehta"/>
    <n v="41"/>
    <x v="5"/>
    <x v="1"/>
    <x v="3"/>
    <d v="2025-10-16T00:00:00"/>
    <x v="1"/>
    <n v="2394608"/>
    <n v="590"/>
    <x v="4"/>
    <x v="2"/>
    <n v="120"/>
    <n v="11636.55"/>
    <x v="0"/>
  </r>
  <r>
    <s v="HSBC100097"/>
    <s v="Sanjay Patel"/>
    <n v="41"/>
    <x v="8"/>
    <x v="2"/>
    <x v="1"/>
    <d v="2026-01-14T00:00:00"/>
    <x v="1"/>
    <n v="2354385"/>
    <n v="611"/>
    <x v="4"/>
    <x v="3"/>
    <n v="19"/>
    <n v="17690.5"/>
    <x v="0"/>
  </r>
  <r>
    <s v="HSBC100098"/>
    <s v="Rohan Gupta"/>
    <n v="25"/>
    <x v="4"/>
    <x v="1"/>
    <x v="0"/>
    <d v="2026-05-05T00:00:00"/>
    <x v="3"/>
    <n v="3461861"/>
    <n v="636"/>
    <x v="6"/>
    <x v="3"/>
    <n v="71"/>
    <n v="1371.65"/>
    <x v="0"/>
  </r>
  <r>
    <s v="HSBC100099"/>
    <s v="Meera Gupta"/>
    <n v="68"/>
    <x v="4"/>
    <x v="2"/>
    <x v="0"/>
    <d v="2025-08-19T00:00:00"/>
    <x v="4"/>
    <n v="3180299"/>
    <n v="745"/>
    <x v="2"/>
    <x v="3"/>
    <n v="31"/>
    <n v="8782.77"/>
    <x v="0"/>
  </r>
  <r>
    <s v="HSBC100100"/>
    <s v="Vikram Singh"/>
    <n v="40"/>
    <x v="6"/>
    <x v="1"/>
    <x v="0"/>
    <d v="2025-02-10T00:00:00"/>
    <x v="1"/>
    <n v="878373"/>
    <n v="767"/>
    <x v="6"/>
    <x v="2"/>
    <n v="82"/>
    <n v="1590.81"/>
    <x v="0"/>
  </r>
  <r>
    <s v="HSBC100101"/>
    <s v="Amit Singh"/>
    <n v="57"/>
    <x v="9"/>
    <x v="1"/>
    <x v="3"/>
    <d v="2025-01-28T00:00:00"/>
    <x v="1"/>
    <n v="883389"/>
    <n v="598"/>
    <x v="2"/>
    <x v="2"/>
    <n v="40"/>
    <n v="7806.28"/>
    <x v="1"/>
  </r>
  <r>
    <s v="HSBC100102"/>
    <s v="Ishita Verma"/>
    <n v="23"/>
    <x v="5"/>
    <x v="1"/>
    <x v="1"/>
    <d v="2025-05-15T00:00:00"/>
    <x v="1"/>
    <n v="1407260"/>
    <n v="695"/>
    <x v="4"/>
    <x v="2"/>
    <n v="14"/>
    <n v="37864.910000000003"/>
    <x v="0"/>
  </r>
  <r>
    <s v="HSBC100103"/>
    <s v="Neha Iyer"/>
    <n v="64"/>
    <x v="6"/>
    <x v="2"/>
    <x v="1"/>
    <d v="2025-07-20T00:00:00"/>
    <x v="1"/>
    <n v="1625520"/>
    <n v="763"/>
    <x v="5"/>
    <x v="1"/>
    <n v="103"/>
    <n v="3138.84"/>
    <x v="0"/>
  </r>
  <r>
    <s v="HSBC100104"/>
    <s v="Kavya Malhotra"/>
    <n v="53"/>
    <x v="0"/>
    <x v="1"/>
    <x v="0"/>
    <d v="2025-02-02T00:00:00"/>
    <x v="3"/>
    <n v="3605000"/>
    <n v="849"/>
    <x v="7"/>
    <x v="2"/>
    <n v="117"/>
    <n v="1556.6"/>
    <x v="0"/>
  </r>
  <r>
    <s v="HSBC100105"/>
    <s v="Priya Malhotra"/>
    <n v="29"/>
    <x v="6"/>
    <x v="1"/>
    <x v="0"/>
    <d v="2025-02-17T00:00:00"/>
    <x v="2"/>
    <n v="3831311"/>
    <n v="612"/>
    <x v="2"/>
    <x v="3"/>
    <n v="100"/>
    <n v="64995.29"/>
    <x v="0"/>
  </r>
  <r>
    <s v="HSBC100106"/>
    <s v="Karan Sharma"/>
    <n v="29"/>
    <x v="8"/>
    <x v="3"/>
    <x v="2"/>
    <d v="2026-05-18T00:00:00"/>
    <x v="1"/>
    <n v="4033831"/>
    <n v="589"/>
    <x v="7"/>
    <x v="0"/>
    <n v="81"/>
    <n v="2685.41"/>
    <x v="0"/>
  </r>
  <r>
    <s v="HSBC100107"/>
    <s v="Karan Nair"/>
    <n v="24"/>
    <x v="3"/>
    <x v="1"/>
    <x v="1"/>
    <d v="2026-02-11T00:00:00"/>
    <x v="2"/>
    <n v="4046286"/>
    <n v="659"/>
    <x v="0"/>
    <x v="2"/>
    <n v="37"/>
    <n v="1856.58"/>
    <x v="0"/>
  </r>
  <r>
    <s v="HSBC100108"/>
    <s v="Kavya Sen"/>
    <n v="55"/>
    <x v="10"/>
    <x v="0"/>
    <x v="2"/>
    <d v="2026-07-28T00:00:00"/>
    <x v="1"/>
    <n v="2211328"/>
    <n v="771"/>
    <x v="6"/>
    <x v="0"/>
    <n v="44"/>
    <n v="49019.98"/>
    <x v="0"/>
  </r>
  <r>
    <s v="HSBC100109"/>
    <s v="Karan Singh"/>
    <n v="37"/>
    <x v="9"/>
    <x v="0"/>
    <x v="1"/>
    <d v="2025-04-09T00:00:00"/>
    <x v="0"/>
    <n v="4339437"/>
    <n v="769"/>
    <x v="7"/>
    <x v="3"/>
    <n v="9"/>
    <n v="2576.5500000000002"/>
    <x v="0"/>
  </r>
  <r>
    <s v="HSBC100110"/>
    <s v="Nikhil Malhotra"/>
    <n v="54"/>
    <x v="2"/>
    <x v="1"/>
    <x v="1"/>
    <d v="2026-07-01T00:00:00"/>
    <x v="1"/>
    <n v="3819199"/>
    <n v="647"/>
    <x v="6"/>
    <x v="2"/>
    <n v="58"/>
    <n v="50370.45"/>
    <x v="0"/>
  </r>
  <r>
    <s v="HSBC100111"/>
    <s v="Vikram Das"/>
    <n v="44"/>
    <x v="3"/>
    <x v="0"/>
    <x v="2"/>
    <d v="2026-04-07T00:00:00"/>
    <x v="1"/>
    <n v="3941198"/>
    <n v="704"/>
    <x v="2"/>
    <x v="1"/>
    <n v="20"/>
    <n v="11941.74"/>
    <x v="0"/>
  </r>
  <r>
    <s v="HSBC100112"/>
    <s v="Amit Verma"/>
    <n v="52"/>
    <x v="7"/>
    <x v="1"/>
    <x v="0"/>
    <d v="2025-01-05T00:00:00"/>
    <x v="1"/>
    <n v="1600093"/>
    <n v="638"/>
    <x v="2"/>
    <x v="1"/>
    <n v="109"/>
    <n v="34480.699999999997"/>
    <x v="0"/>
  </r>
  <r>
    <s v="HSBC100113"/>
    <s v="Varun Patel"/>
    <n v="21"/>
    <x v="6"/>
    <x v="0"/>
    <x v="1"/>
    <d v="2025-08-06T00:00:00"/>
    <x v="2"/>
    <n v="443691"/>
    <n v="676"/>
    <x v="0"/>
    <x v="0"/>
    <n v="92"/>
    <n v="10887.49"/>
    <x v="0"/>
  </r>
  <r>
    <s v="HSBC100114"/>
    <s v="Aditya Das"/>
    <n v="28"/>
    <x v="5"/>
    <x v="1"/>
    <x v="1"/>
    <d v="2026-05-18T00:00:00"/>
    <x v="2"/>
    <n v="3834476"/>
    <n v="728"/>
    <x v="2"/>
    <x v="1"/>
    <n v="50"/>
    <n v="27824.93"/>
    <x v="0"/>
  </r>
  <r>
    <s v="HSBC100115"/>
    <s v="Priya Patel"/>
    <n v="65"/>
    <x v="10"/>
    <x v="0"/>
    <x v="1"/>
    <d v="2026-02-02T00:00:00"/>
    <x v="4"/>
    <n v="1440064"/>
    <n v="844"/>
    <x v="4"/>
    <x v="1"/>
    <n v="20"/>
    <n v="3413.96"/>
    <x v="0"/>
  </r>
  <r>
    <s v="HSBC100116"/>
    <s v="Sanjay Nair"/>
    <n v="43"/>
    <x v="4"/>
    <x v="1"/>
    <x v="1"/>
    <d v="2026-01-28T00:00:00"/>
    <x v="1"/>
    <n v="3215560"/>
    <n v="588"/>
    <x v="0"/>
    <x v="1"/>
    <n v="105"/>
    <n v="4701.88"/>
    <x v="0"/>
  </r>
  <r>
    <s v="HSBC100117"/>
    <s v="Aditya Khan"/>
    <n v="67"/>
    <x v="11"/>
    <x v="0"/>
    <x v="0"/>
    <d v="2025-07-26T00:00:00"/>
    <x v="1"/>
    <n v="3659747"/>
    <n v="587"/>
    <x v="7"/>
    <x v="3"/>
    <n v="36"/>
    <n v="971.38"/>
    <x v="0"/>
  </r>
  <r>
    <s v="HSBC100118"/>
    <s v="Sneha Das"/>
    <n v="60"/>
    <x v="10"/>
    <x v="1"/>
    <x v="3"/>
    <d v="2025-01-15T00:00:00"/>
    <x v="1"/>
    <n v="2253146"/>
    <n v="787"/>
    <x v="2"/>
    <x v="1"/>
    <n v="117"/>
    <n v="24843.98"/>
    <x v="0"/>
  </r>
  <r>
    <s v="HSBC100119"/>
    <s v="Aditya Sen"/>
    <n v="32"/>
    <x v="8"/>
    <x v="1"/>
    <x v="1"/>
    <d v="2026-07-08T00:00:00"/>
    <x v="2"/>
    <n v="2842440"/>
    <n v="704"/>
    <x v="5"/>
    <x v="4"/>
    <n v="27"/>
    <n v="13912.57"/>
    <x v="0"/>
  </r>
  <r>
    <s v="HSBC100120"/>
    <s v="Ananya Mehta"/>
    <n v="32"/>
    <x v="7"/>
    <x v="1"/>
    <x v="0"/>
    <d v="2026-04-06T00:00:00"/>
    <x v="1"/>
    <n v="729969"/>
    <n v="702"/>
    <x v="1"/>
    <x v="2"/>
    <n v="72"/>
    <n v="3109.79"/>
    <x v="0"/>
  </r>
  <r>
    <s v="HSBC100121"/>
    <s v="Ishita Patel"/>
    <n v="66"/>
    <x v="8"/>
    <x v="1"/>
    <x v="3"/>
    <d v="2026-07-29T00:00:00"/>
    <x v="2"/>
    <n v="2741721"/>
    <n v="612"/>
    <x v="3"/>
    <x v="1"/>
    <n v="32"/>
    <n v="1427.46"/>
    <x v="0"/>
  </r>
  <r>
    <s v="HSBC100122"/>
    <s v="Kavya Mehta"/>
    <n v="67"/>
    <x v="6"/>
    <x v="2"/>
    <x v="0"/>
    <d v="2025-08-29T00:00:00"/>
    <x v="3"/>
    <n v="932346"/>
    <n v="580"/>
    <x v="4"/>
    <x v="1"/>
    <n v="1"/>
    <n v="12038.97"/>
    <x v="0"/>
  </r>
  <r>
    <s v="HSBC100123"/>
    <s v="Sanjay Roy"/>
    <n v="35"/>
    <x v="0"/>
    <x v="1"/>
    <x v="1"/>
    <d v="2026-07-18T00:00:00"/>
    <x v="3"/>
    <n v="1254411"/>
    <n v="783"/>
    <x v="1"/>
    <x v="1"/>
    <n v="17"/>
    <n v="52039.18"/>
    <x v="0"/>
  </r>
  <r>
    <s v="HSBC100124"/>
    <s v="Sneha Das"/>
    <n v="61"/>
    <x v="8"/>
    <x v="3"/>
    <x v="3"/>
    <d v="2025-04-06T00:00:00"/>
    <x v="1"/>
    <n v="3181659"/>
    <n v="585"/>
    <x v="1"/>
    <x v="4"/>
    <n v="9"/>
    <n v="7747.62"/>
    <x v="0"/>
  </r>
  <r>
    <s v="HSBC100125"/>
    <s v="Aarav Malhotra"/>
    <n v="39"/>
    <x v="8"/>
    <x v="3"/>
    <x v="1"/>
    <d v="2026-04-30T00:00:00"/>
    <x v="1"/>
    <n v="449542"/>
    <n v="584"/>
    <x v="6"/>
    <x v="1"/>
    <n v="84"/>
    <n v="4485.62"/>
    <x v="0"/>
  </r>
  <r>
    <s v="HSBC100126"/>
    <s v="Sneha Banerjee"/>
    <n v="46"/>
    <x v="5"/>
    <x v="0"/>
    <x v="1"/>
    <d v="2026-02-11T00:00:00"/>
    <x v="1"/>
    <n v="1970342"/>
    <n v="659"/>
    <x v="4"/>
    <x v="1"/>
    <n v="45"/>
    <n v="3347.84"/>
    <x v="0"/>
  </r>
  <r>
    <s v="HSBC100127"/>
    <s v="Ishita Nair"/>
    <n v="49"/>
    <x v="6"/>
    <x v="1"/>
    <x v="1"/>
    <d v="2025-08-19T00:00:00"/>
    <x v="2"/>
    <n v="3733802"/>
    <n v="756"/>
    <x v="4"/>
    <x v="2"/>
    <n v="96"/>
    <n v="33250.199999999997"/>
    <x v="0"/>
  </r>
  <r>
    <s v="HSBC100128"/>
    <s v="Vivaan Patel"/>
    <n v="42"/>
    <x v="10"/>
    <x v="1"/>
    <x v="2"/>
    <d v="2025-06-20T00:00:00"/>
    <x v="3"/>
    <n v="2069833"/>
    <n v="715"/>
    <x v="0"/>
    <x v="4"/>
    <n v="66"/>
    <n v="3951.26"/>
    <x v="0"/>
  </r>
  <r>
    <s v="HSBC100129"/>
    <s v="Aditya Banerjee"/>
    <n v="60"/>
    <x v="0"/>
    <x v="2"/>
    <x v="1"/>
    <d v="2026-06-25T00:00:00"/>
    <x v="1"/>
    <n v="2200500"/>
    <n v="604"/>
    <x v="6"/>
    <x v="4"/>
    <n v="32"/>
    <n v="6064.83"/>
    <x v="0"/>
  </r>
  <r>
    <s v="HSBC100130"/>
    <s v="Vivaan Nair"/>
    <n v="41"/>
    <x v="3"/>
    <x v="1"/>
    <x v="1"/>
    <d v="2025-02-05T00:00:00"/>
    <x v="1"/>
    <n v="4334032"/>
    <n v="762"/>
    <x v="7"/>
    <x v="1"/>
    <n v="45"/>
    <n v="26737.48"/>
    <x v="0"/>
  </r>
  <r>
    <s v="HSBC100131"/>
    <s v="Sneha Iyer"/>
    <n v="58"/>
    <x v="11"/>
    <x v="1"/>
    <x v="1"/>
    <d v="2026-06-09T00:00:00"/>
    <x v="3"/>
    <n v="1473045"/>
    <n v="747"/>
    <x v="3"/>
    <x v="4"/>
    <n v="9"/>
    <n v="17489.490000000002"/>
    <x v="0"/>
  </r>
  <r>
    <s v="HSBC100132"/>
    <s v="Amit Malhotra"/>
    <n v="40"/>
    <x v="9"/>
    <x v="0"/>
    <x v="0"/>
    <d v="2025-06-09T00:00:00"/>
    <x v="3"/>
    <n v="3154936"/>
    <n v="757"/>
    <x v="7"/>
    <x v="0"/>
    <n v="30"/>
    <n v="6313.5"/>
    <x v="0"/>
  </r>
  <r>
    <s v="HSBC100133"/>
    <s v="Aditya Chatterjee"/>
    <n v="49"/>
    <x v="4"/>
    <x v="2"/>
    <x v="0"/>
    <d v="2025-08-31T00:00:00"/>
    <x v="1"/>
    <n v="2186983"/>
    <n v="674"/>
    <x v="5"/>
    <x v="4"/>
    <n v="84"/>
    <n v="4298.7299999999996"/>
    <x v="0"/>
  </r>
  <r>
    <s v="HSBC100134"/>
    <s v="Karan Nair"/>
    <n v="24"/>
    <x v="8"/>
    <x v="2"/>
    <x v="1"/>
    <d v="2025-03-27T00:00:00"/>
    <x v="2"/>
    <n v="1654568"/>
    <n v="612"/>
    <x v="3"/>
    <x v="4"/>
    <n v="38"/>
    <n v="41725.06"/>
    <x v="0"/>
  </r>
  <r>
    <s v="HSBC100135"/>
    <s v="Varun Iyer"/>
    <n v="27"/>
    <x v="6"/>
    <x v="1"/>
    <x v="0"/>
    <d v="2026-08-01T00:00:00"/>
    <x v="1"/>
    <n v="1010956"/>
    <n v="690"/>
    <x v="6"/>
    <x v="4"/>
    <n v="60"/>
    <n v="2773.35"/>
    <x v="0"/>
  </r>
  <r>
    <s v="HSBC100136"/>
    <s v="Sanjay Iyer"/>
    <n v="48"/>
    <x v="9"/>
    <x v="0"/>
    <x v="0"/>
    <d v="2026-07-11T00:00:00"/>
    <x v="1"/>
    <n v="3804382"/>
    <n v="725"/>
    <x v="2"/>
    <x v="3"/>
    <n v="1"/>
    <n v="7181.05"/>
    <x v="0"/>
  </r>
  <r>
    <s v="HSBC100137"/>
    <s v="Ishita Singh"/>
    <n v="48"/>
    <x v="4"/>
    <x v="1"/>
    <x v="0"/>
    <d v="2026-07-28T00:00:00"/>
    <x v="3"/>
    <n v="3938498"/>
    <n v="810"/>
    <x v="2"/>
    <x v="3"/>
    <n v="5"/>
    <n v="1842.41"/>
    <x v="0"/>
  </r>
  <r>
    <s v="HSBC100138"/>
    <s v="Meera Mehta"/>
    <n v="24"/>
    <x v="4"/>
    <x v="1"/>
    <x v="1"/>
    <d v="2025-01-28T00:00:00"/>
    <x v="3"/>
    <n v="749964"/>
    <n v="617"/>
    <x v="6"/>
    <x v="3"/>
    <n v="63"/>
    <n v="31204.28"/>
    <x v="1"/>
  </r>
  <r>
    <s v="HSBC100139"/>
    <s v="Ishita Verma"/>
    <n v="42"/>
    <x v="3"/>
    <x v="2"/>
    <x v="0"/>
    <d v="2026-07-10T00:00:00"/>
    <x v="4"/>
    <n v="3247493"/>
    <n v="714"/>
    <x v="7"/>
    <x v="4"/>
    <n v="99"/>
    <n v="5439.11"/>
    <x v="0"/>
  </r>
  <r>
    <s v="HSBC100140"/>
    <s v="Priya Nair"/>
    <n v="32"/>
    <x v="3"/>
    <x v="1"/>
    <x v="3"/>
    <d v="2025-12-06T00:00:00"/>
    <x v="1"/>
    <n v="1049458"/>
    <n v="814"/>
    <x v="6"/>
    <x v="0"/>
    <n v="36"/>
    <n v="4295.8"/>
    <x v="0"/>
  </r>
  <r>
    <s v="HSBC100141"/>
    <s v="Karan Roy"/>
    <n v="65"/>
    <x v="3"/>
    <x v="1"/>
    <x v="0"/>
    <d v="2025-11-27T00:00:00"/>
    <x v="3"/>
    <n v="255435"/>
    <n v="739"/>
    <x v="6"/>
    <x v="4"/>
    <n v="65"/>
    <n v="17939.240000000002"/>
    <x v="0"/>
  </r>
  <r>
    <s v="HSBC100142"/>
    <s v="Rohan Sharma"/>
    <n v="23"/>
    <x v="2"/>
    <x v="1"/>
    <x v="1"/>
    <d v="2026-05-21T00:00:00"/>
    <x v="1"/>
    <n v="389565"/>
    <n v="617"/>
    <x v="1"/>
    <x v="1"/>
    <n v="78"/>
    <n v="2004.62"/>
    <x v="0"/>
  </r>
  <r>
    <s v="HSBC100143"/>
    <s v="Sanjay Mondal"/>
    <n v="42"/>
    <x v="1"/>
    <x v="2"/>
    <x v="2"/>
    <d v="2025-12-14T00:00:00"/>
    <x v="1"/>
    <n v="3192905"/>
    <n v="729"/>
    <x v="5"/>
    <x v="0"/>
    <n v="73"/>
    <n v="17450.97"/>
    <x v="0"/>
  </r>
  <r>
    <s v="HSBC100144"/>
    <s v="Sneha Nair"/>
    <n v="64"/>
    <x v="1"/>
    <x v="2"/>
    <x v="2"/>
    <d v="2026-04-18T00:00:00"/>
    <x v="2"/>
    <n v="3678261"/>
    <n v="608"/>
    <x v="4"/>
    <x v="3"/>
    <n v="94"/>
    <n v="6132.94"/>
    <x v="0"/>
  </r>
  <r>
    <s v="HSBC100145"/>
    <s v="Amit Roy"/>
    <n v="22"/>
    <x v="4"/>
    <x v="0"/>
    <x v="2"/>
    <d v="2025-08-19T00:00:00"/>
    <x v="1"/>
    <n v="1577654"/>
    <n v="723"/>
    <x v="2"/>
    <x v="2"/>
    <n v="24"/>
    <n v="2526.11"/>
    <x v="0"/>
  </r>
  <r>
    <s v="HSBC100146"/>
    <s v="Amit Nair"/>
    <n v="44"/>
    <x v="3"/>
    <x v="2"/>
    <x v="1"/>
    <d v="2025-07-09T00:00:00"/>
    <x v="4"/>
    <n v="2877014"/>
    <n v="655"/>
    <x v="1"/>
    <x v="0"/>
    <n v="4"/>
    <n v="3166"/>
    <x v="0"/>
  </r>
  <r>
    <s v="HSBC100147"/>
    <s v="Rohan Singh"/>
    <n v="54"/>
    <x v="5"/>
    <x v="1"/>
    <x v="1"/>
    <d v="2025-08-13T00:00:00"/>
    <x v="2"/>
    <n v="2389934"/>
    <n v="724"/>
    <x v="6"/>
    <x v="3"/>
    <n v="114"/>
    <n v="4365.9399999999996"/>
    <x v="0"/>
  </r>
  <r>
    <s v="HSBC100148"/>
    <s v="Meera Sharma"/>
    <n v="47"/>
    <x v="8"/>
    <x v="1"/>
    <x v="0"/>
    <d v="2026-01-20T00:00:00"/>
    <x v="1"/>
    <n v="697628"/>
    <n v="808"/>
    <x v="0"/>
    <x v="0"/>
    <n v="78"/>
    <n v="5618.13"/>
    <x v="0"/>
  </r>
  <r>
    <s v="HSBC100149"/>
    <s v="Pooja Verma"/>
    <n v="61"/>
    <x v="9"/>
    <x v="1"/>
    <x v="0"/>
    <d v="2026-01-12T00:00:00"/>
    <x v="1"/>
    <n v="2817592"/>
    <n v="643"/>
    <x v="1"/>
    <x v="0"/>
    <n v="89"/>
    <n v="2544.14"/>
    <x v="0"/>
  </r>
  <r>
    <s v="HSBC100150"/>
    <s v="Neha Verma"/>
    <n v="21"/>
    <x v="9"/>
    <x v="1"/>
    <x v="1"/>
    <d v="2025-10-10T00:00:00"/>
    <x v="1"/>
    <n v="3269065"/>
    <n v="848"/>
    <x v="6"/>
    <x v="4"/>
    <n v="68"/>
    <n v="12200.62"/>
    <x v="0"/>
  </r>
  <r>
    <s v="HSBC100151"/>
    <s v="Sanjay Singh"/>
    <n v="28"/>
    <x v="1"/>
    <x v="1"/>
    <x v="3"/>
    <d v="2025-09-16T00:00:00"/>
    <x v="1"/>
    <n v="4309319"/>
    <n v="763"/>
    <x v="2"/>
    <x v="1"/>
    <n v="25"/>
    <n v="2475.11"/>
    <x v="0"/>
  </r>
  <r>
    <s v="HSBC100152"/>
    <s v="Arjun Khan"/>
    <n v="43"/>
    <x v="4"/>
    <x v="3"/>
    <x v="1"/>
    <d v="2025-12-25T00:00:00"/>
    <x v="2"/>
    <n v="714535"/>
    <n v="840"/>
    <x v="4"/>
    <x v="2"/>
    <n v="74"/>
    <n v="747.42"/>
    <x v="0"/>
  </r>
  <r>
    <s v="HSBC100153"/>
    <s v="Rohan Iyer"/>
    <n v="58"/>
    <x v="6"/>
    <x v="1"/>
    <x v="0"/>
    <d v="2026-04-01T00:00:00"/>
    <x v="3"/>
    <n v="2898191"/>
    <n v="847"/>
    <x v="6"/>
    <x v="3"/>
    <n v="99"/>
    <n v="67211.570000000007"/>
    <x v="1"/>
  </r>
  <r>
    <s v="HSBC100154"/>
    <s v="Rohan Chatterjee"/>
    <n v="26"/>
    <x v="10"/>
    <x v="1"/>
    <x v="0"/>
    <d v="2026-02-15T00:00:00"/>
    <x v="1"/>
    <n v="1598894"/>
    <n v="748"/>
    <x v="5"/>
    <x v="0"/>
    <n v="119"/>
    <n v="11023.93"/>
    <x v="0"/>
  </r>
  <r>
    <s v="HSBC100155"/>
    <s v="Rahul Patel"/>
    <n v="42"/>
    <x v="10"/>
    <x v="1"/>
    <x v="0"/>
    <d v="2025-11-14T00:00:00"/>
    <x v="1"/>
    <n v="306572"/>
    <n v="838"/>
    <x v="7"/>
    <x v="2"/>
    <n v="7"/>
    <n v="73862.92"/>
    <x v="0"/>
  </r>
  <r>
    <s v="HSBC100156"/>
    <s v="Pooja Mehta"/>
    <n v="45"/>
    <x v="1"/>
    <x v="1"/>
    <x v="3"/>
    <d v="2025-08-13T00:00:00"/>
    <x v="2"/>
    <n v="3800985"/>
    <n v="806"/>
    <x v="3"/>
    <x v="0"/>
    <n v="106"/>
    <n v="2993.38"/>
    <x v="0"/>
  </r>
  <r>
    <s v="HSBC100157"/>
    <s v="Ananya Nair"/>
    <n v="38"/>
    <x v="6"/>
    <x v="2"/>
    <x v="1"/>
    <d v="2025-08-22T00:00:00"/>
    <x v="4"/>
    <n v="2763595"/>
    <n v="612"/>
    <x v="1"/>
    <x v="1"/>
    <n v="13"/>
    <n v="14820.76"/>
    <x v="0"/>
  </r>
  <r>
    <s v="HSBC100158"/>
    <s v="Sneha Das"/>
    <n v="37"/>
    <x v="2"/>
    <x v="1"/>
    <x v="0"/>
    <d v="2026-01-09T00:00:00"/>
    <x v="1"/>
    <n v="2383221"/>
    <n v="793"/>
    <x v="1"/>
    <x v="2"/>
    <n v="68"/>
    <n v="22910.240000000002"/>
    <x v="2"/>
  </r>
  <r>
    <s v="HSBC100159"/>
    <s v="Karan Roy"/>
    <n v="32"/>
    <x v="2"/>
    <x v="1"/>
    <x v="1"/>
    <d v="2026-08-31T00:00:00"/>
    <x v="1"/>
    <n v="987550"/>
    <n v="629"/>
    <x v="1"/>
    <x v="3"/>
    <n v="114"/>
    <n v="7340.68"/>
    <x v="0"/>
  </r>
  <r>
    <s v="HSBC100160"/>
    <s v="Arjun Chatterjee"/>
    <n v="26"/>
    <x v="1"/>
    <x v="2"/>
    <x v="0"/>
    <d v="2026-04-17T00:00:00"/>
    <x v="2"/>
    <n v="2048954"/>
    <n v="789"/>
    <x v="6"/>
    <x v="0"/>
    <n v="43"/>
    <n v="1965.16"/>
    <x v="0"/>
  </r>
  <r>
    <s v="HSBC100161"/>
    <s v="Vikram Roy"/>
    <n v="46"/>
    <x v="10"/>
    <x v="1"/>
    <x v="0"/>
    <d v="2025-08-21T00:00:00"/>
    <x v="1"/>
    <n v="2210350"/>
    <n v="608"/>
    <x v="4"/>
    <x v="1"/>
    <n v="57"/>
    <n v="6783.81"/>
    <x v="0"/>
  </r>
  <r>
    <s v="HSBC100162"/>
    <s v="Nikhil Iyer"/>
    <n v="47"/>
    <x v="6"/>
    <x v="1"/>
    <x v="0"/>
    <d v="2025-04-23T00:00:00"/>
    <x v="1"/>
    <n v="1032533"/>
    <n v="618"/>
    <x v="5"/>
    <x v="2"/>
    <n v="36"/>
    <n v="17287.12"/>
    <x v="0"/>
  </r>
  <r>
    <s v="HSBC100163"/>
    <s v="Pooja Banerjee"/>
    <n v="28"/>
    <x v="3"/>
    <x v="1"/>
    <x v="1"/>
    <d v="2026-05-12T00:00:00"/>
    <x v="4"/>
    <n v="1179090"/>
    <n v="679"/>
    <x v="4"/>
    <x v="0"/>
    <n v="120"/>
    <n v="16607.86"/>
    <x v="0"/>
  </r>
  <r>
    <s v="HSBC100164"/>
    <s v="Ananya Das"/>
    <n v="39"/>
    <x v="4"/>
    <x v="0"/>
    <x v="0"/>
    <d v="2026-03-18T00:00:00"/>
    <x v="2"/>
    <n v="3052743"/>
    <n v="752"/>
    <x v="6"/>
    <x v="0"/>
    <n v="14"/>
    <n v="8939.99"/>
    <x v="0"/>
  </r>
  <r>
    <s v="HSBC100165"/>
    <s v="Neha Sharma"/>
    <n v="62"/>
    <x v="9"/>
    <x v="3"/>
    <x v="1"/>
    <d v="2026-07-18T00:00:00"/>
    <x v="2"/>
    <n v="637902"/>
    <n v="596"/>
    <x v="6"/>
    <x v="3"/>
    <n v="82"/>
    <n v="22974.78"/>
    <x v="0"/>
  </r>
  <r>
    <s v="HSBC100166"/>
    <s v="Aditya Mehta"/>
    <n v="21"/>
    <x v="5"/>
    <x v="2"/>
    <x v="1"/>
    <d v="2025-09-25T00:00:00"/>
    <x v="4"/>
    <n v="2150302"/>
    <n v="635"/>
    <x v="7"/>
    <x v="1"/>
    <n v="72"/>
    <n v="21863.86"/>
    <x v="0"/>
  </r>
  <r>
    <s v="HSBC100167"/>
    <s v="Rahul Sen"/>
    <n v="49"/>
    <x v="0"/>
    <x v="1"/>
    <x v="0"/>
    <d v="2026-05-25T00:00:00"/>
    <x v="2"/>
    <n v="934659"/>
    <n v="805"/>
    <x v="0"/>
    <x v="4"/>
    <n v="96"/>
    <n v="5167.5200000000004"/>
    <x v="0"/>
  </r>
  <r>
    <s v="HSBC100168"/>
    <s v="Rohan Gupta"/>
    <n v="65"/>
    <x v="4"/>
    <x v="2"/>
    <x v="1"/>
    <d v="2026-01-21T00:00:00"/>
    <x v="1"/>
    <n v="689717"/>
    <n v="625"/>
    <x v="5"/>
    <x v="0"/>
    <n v="27"/>
    <n v="1814.49"/>
    <x v="0"/>
  </r>
  <r>
    <s v="HSBC100169"/>
    <s v="Kavya Patel"/>
    <n v="69"/>
    <x v="3"/>
    <x v="1"/>
    <x v="0"/>
    <d v="2026-01-22T00:00:00"/>
    <x v="1"/>
    <n v="962494"/>
    <n v="646"/>
    <x v="1"/>
    <x v="2"/>
    <n v="106"/>
    <n v="10937.53"/>
    <x v="0"/>
  </r>
  <r>
    <s v="HSBC100170"/>
    <s v="Sanjay Singh"/>
    <n v="55"/>
    <x v="7"/>
    <x v="1"/>
    <x v="1"/>
    <d v="2025-04-23T00:00:00"/>
    <x v="1"/>
    <n v="4040918"/>
    <n v="776"/>
    <x v="3"/>
    <x v="3"/>
    <n v="37"/>
    <n v="4088.9"/>
    <x v="0"/>
  </r>
  <r>
    <s v="HSBC100171"/>
    <s v="Aditya Roy"/>
    <n v="60"/>
    <x v="10"/>
    <x v="1"/>
    <x v="1"/>
    <d v="2025-03-22T00:00:00"/>
    <x v="1"/>
    <n v="3417118"/>
    <n v="721"/>
    <x v="1"/>
    <x v="3"/>
    <n v="87"/>
    <n v="10414.31"/>
    <x v="0"/>
  </r>
  <r>
    <s v="HSBC100172"/>
    <s v="Sanjay Iyer"/>
    <n v="34"/>
    <x v="3"/>
    <x v="1"/>
    <x v="0"/>
    <d v="2025-04-23T00:00:00"/>
    <x v="2"/>
    <n v="2491105"/>
    <n v="602"/>
    <x v="4"/>
    <x v="0"/>
    <n v="71"/>
    <n v="36783.56"/>
    <x v="0"/>
  </r>
  <r>
    <s v="HSBC100173"/>
    <s v="Priya Mondal"/>
    <n v="55"/>
    <x v="7"/>
    <x v="1"/>
    <x v="2"/>
    <d v="2025-01-02T00:00:00"/>
    <x v="3"/>
    <n v="1570307"/>
    <n v="673"/>
    <x v="6"/>
    <x v="0"/>
    <n v="76"/>
    <n v="14176.86"/>
    <x v="0"/>
  </r>
  <r>
    <s v="HSBC100174"/>
    <s v="Amit Das"/>
    <n v="68"/>
    <x v="1"/>
    <x v="0"/>
    <x v="1"/>
    <d v="2025-08-08T00:00:00"/>
    <x v="0"/>
    <n v="2572024"/>
    <n v="821"/>
    <x v="5"/>
    <x v="0"/>
    <n v="25"/>
    <n v="34928.85"/>
    <x v="0"/>
  </r>
  <r>
    <s v="HSBC100175"/>
    <s v="Sanjay Mehta"/>
    <n v="65"/>
    <x v="6"/>
    <x v="2"/>
    <x v="0"/>
    <d v="2026-07-20T00:00:00"/>
    <x v="2"/>
    <n v="2814695"/>
    <n v="816"/>
    <x v="2"/>
    <x v="4"/>
    <n v="67"/>
    <n v="3096.25"/>
    <x v="0"/>
  </r>
  <r>
    <s v="HSBC100176"/>
    <s v="Aditya Malhotra"/>
    <n v="40"/>
    <x v="9"/>
    <x v="1"/>
    <x v="2"/>
    <d v="2025-08-13T00:00:00"/>
    <x v="1"/>
    <n v="1345589"/>
    <n v="633"/>
    <x v="5"/>
    <x v="0"/>
    <n v="90"/>
    <n v="28052.37"/>
    <x v="0"/>
  </r>
  <r>
    <s v="HSBC100177"/>
    <s v="Aditya Gupta"/>
    <n v="69"/>
    <x v="8"/>
    <x v="1"/>
    <x v="2"/>
    <d v="2026-01-20T00:00:00"/>
    <x v="1"/>
    <n v="1164217"/>
    <n v="717"/>
    <x v="5"/>
    <x v="1"/>
    <n v="4"/>
    <n v="52074.35"/>
    <x v="0"/>
  </r>
  <r>
    <s v="HSBC100178"/>
    <s v="Sneha Mehta"/>
    <n v="33"/>
    <x v="1"/>
    <x v="1"/>
    <x v="1"/>
    <d v="2026-02-07T00:00:00"/>
    <x v="4"/>
    <n v="4114708"/>
    <n v="620"/>
    <x v="0"/>
    <x v="2"/>
    <n v="106"/>
    <n v="9581.01"/>
    <x v="0"/>
  </r>
  <r>
    <s v="HSBC100179"/>
    <s v="Kavya Singh"/>
    <n v="58"/>
    <x v="4"/>
    <x v="1"/>
    <x v="0"/>
    <d v="2025-05-10T00:00:00"/>
    <x v="2"/>
    <n v="328113"/>
    <n v="677"/>
    <x v="1"/>
    <x v="0"/>
    <n v="100"/>
    <n v="102555.16"/>
    <x v="0"/>
  </r>
  <r>
    <s v="HSBC100180"/>
    <s v="Neha Roy"/>
    <n v="69"/>
    <x v="1"/>
    <x v="0"/>
    <x v="0"/>
    <d v="2025-02-22T00:00:00"/>
    <x v="2"/>
    <n v="2171792"/>
    <n v="762"/>
    <x v="0"/>
    <x v="4"/>
    <n v="79"/>
    <n v="3639.85"/>
    <x v="0"/>
  </r>
  <r>
    <s v="HSBC100181"/>
    <s v="Pooja Sen"/>
    <n v="66"/>
    <x v="4"/>
    <x v="1"/>
    <x v="0"/>
    <d v="2026-02-20T00:00:00"/>
    <x v="4"/>
    <n v="1789219"/>
    <n v="707"/>
    <x v="2"/>
    <x v="2"/>
    <n v="96"/>
    <n v="4578.95"/>
    <x v="0"/>
  </r>
  <r>
    <s v="HSBC100182"/>
    <s v="Vivaan Chatterjee"/>
    <n v="69"/>
    <x v="8"/>
    <x v="2"/>
    <x v="1"/>
    <d v="2025-09-04T00:00:00"/>
    <x v="4"/>
    <n v="4252262"/>
    <n v="808"/>
    <x v="2"/>
    <x v="3"/>
    <n v="93"/>
    <n v="17719.7"/>
    <x v="0"/>
  </r>
  <r>
    <s v="HSBC100183"/>
    <s v="Neha Mehta"/>
    <n v="28"/>
    <x v="11"/>
    <x v="1"/>
    <x v="0"/>
    <d v="2026-03-15T00:00:00"/>
    <x v="3"/>
    <n v="4243687"/>
    <n v="665"/>
    <x v="7"/>
    <x v="0"/>
    <n v="74"/>
    <n v="9482.36"/>
    <x v="0"/>
  </r>
  <r>
    <s v="HSBC100184"/>
    <s v="Aditya Chatterjee"/>
    <n v="63"/>
    <x v="7"/>
    <x v="1"/>
    <x v="0"/>
    <d v="2025-07-22T00:00:00"/>
    <x v="1"/>
    <n v="2739667"/>
    <n v="835"/>
    <x v="4"/>
    <x v="2"/>
    <n v="85"/>
    <n v="4104.9399999999996"/>
    <x v="2"/>
  </r>
  <r>
    <s v="HSBC100185"/>
    <s v="Neha Mondal"/>
    <n v="40"/>
    <x v="9"/>
    <x v="1"/>
    <x v="0"/>
    <d v="2025-07-03T00:00:00"/>
    <x v="4"/>
    <n v="1545125"/>
    <n v="788"/>
    <x v="3"/>
    <x v="3"/>
    <n v="118"/>
    <n v="17155.25"/>
    <x v="0"/>
  </r>
  <r>
    <s v="HSBC100186"/>
    <s v="Vivaan Khan"/>
    <n v="53"/>
    <x v="5"/>
    <x v="1"/>
    <x v="1"/>
    <d v="2025-05-03T00:00:00"/>
    <x v="3"/>
    <n v="335395"/>
    <n v="794"/>
    <x v="7"/>
    <x v="4"/>
    <n v="16"/>
    <n v="13007.98"/>
    <x v="0"/>
  </r>
  <r>
    <s v="HSBC100187"/>
    <s v="Priya Singh"/>
    <n v="46"/>
    <x v="5"/>
    <x v="1"/>
    <x v="0"/>
    <d v="2026-02-05T00:00:00"/>
    <x v="1"/>
    <n v="1383859"/>
    <n v="679"/>
    <x v="6"/>
    <x v="1"/>
    <n v="111"/>
    <n v="4838.74"/>
    <x v="2"/>
  </r>
  <r>
    <s v="HSBC100188"/>
    <s v="Kavya Mehta"/>
    <n v="59"/>
    <x v="7"/>
    <x v="2"/>
    <x v="0"/>
    <d v="2025-10-21T00:00:00"/>
    <x v="2"/>
    <n v="1343060"/>
    <n v="628"/>
    <x v="0"/>
    <x v="0"/>
    <n v="19"/>
    <n v="10921.67"/>
    <x v="0"/>
  </r>
  <r>
    <s v="HSBC100189"/>
    <s v="Rohan Chatterjee"/>
    <n v="41"/>
    <x v="0"/>
    <x v="1"/>
    <x v="1"/>
    <d v="2025-10-07T00:00:00"/>
    <x v="1"/>
    <n v="2948954"/>
    <n v="780"/>
    <x v="0"/>
    <x v="1"/>
    <n v="29"/>
    <n v="19870.21"/>
    <x v="0"/>
  </r>
  <r>
    <s v="HSBC100190"/>
    <s v="Vivaan Mehta"/>
    <n v="69"/>
    <x v="3"/>
    <x v="0"/>
    <x v="1"/>
    <d v="2025-07-17T00:00:00"/>
    <x v="0"/>
    <n v="3485863"/>
    <n v="837"/>
    <x v="7"/>
    <x v="4"/>
    <n v="116"/>
    <n v="4727.34"/>
    <x v="0"/>
  </r>
  <r>
    <s v="HSBC100191"/>
    <s v="Kavya Gupta"/>
    <n v="62"/>
    <x v="11"/>
    <x v="1"/>
    <x v="3"/>
    <d v="2026-05-26T00:00:00"/>
    <x v="1"/>
    <n v="2645067"/>
    <n v="757"/>
    <x v="6"/>
    <x v="2"/>
    <n v="51"/>
    <n v="15411.14"/>
    <x v="0"/>
  </r>
  <r>
    <s v="HSBC100192"/>
    <s v="Vikram Chatterjee"/>
    <n v="63"/>
    <x v="7"/>
    <x v="1"/>
    <x v="1"/>
    <d v="2025-05-24T00:00:00"/>
    <x v="2"/>
    <n v="3901422"/>
    <n v="824"/>
    <x v="5"/>
    <x v="2"/>
    <n v="18"/>
    <n v="3603.3"/>
    <x v="0"/>
  </r>
  <r>
    <s v="HSBC100193"/>
    <s v="Rohan Malhotra"/>
    <n v="61"/>
    <x v="5"/>
    <x v="1"/>
    <x v="3"/>
    <d v="2025-07-20T00:00:00"/>
    <x v="1"/>
    <n v="464223"/>
    <n v="702"/>
    <x v="6"/>
    <x v="4"/>
    <n v="58"/>
    <n v="4413.7700000000004"/>
    <x v="0"/>
  </r>
  <r>
    <s v="HSBC100194"/>
    <s v="Amit Gupta"/>
    <n v="29"/>
    <x v="1"/>
    <x v="2"/>
    <x v="0"/>
    <d v="2025-05-04T00:00:00"/>
    <x v="4"/>
    <n v="4419495"/>
    <n v="750"/>
    <x v="1"/>
    <x v="4"/>
    <n v="44"/>
    <n v="28772.25"/>
    <x v="0"/>
  </r>
  <r>
    <s v="HSBC100195"/>
    <s v="Rohan Khan"/>
    <n v="44"/>
    <x v="3"/>
    <x v="1"/>
    <x v="2"/>
    <d v="2025-07-06T00:00:00"/>
    <x v="1"/>
    <n v="2862761"/>
    <n v="715"/>
    <x v="7"/>
    <x v="0"/>
    <n v="16"/>
    <n v="17059.009999999998"/>
    <x v="0"/>
  </r>
  <r>
    <s v="HSBC100196"/>
    <s v="Meera Iyer"/>
    <n v="57"/>
    <x v="11"/>
    <x v="2"/>
    <x v="1"/>
    <d v="2025-11-22T00:00:00"/>
    <x v="1"/>
    <n v="2245457"/>
    <n v="638"/>
    <x v="4"/>
    <x v="3"/>
    <n v="65"/>
    <n v="1234.99"/>
    <x v="0"/>
  </r>
  <r>
    <s v="HSBC100197"/>
    <s v="Rohan Iyer"/>
    <n v="69"/>
    <x v="6"/>
    <x v="1"/>
    <x v="1"/>
    <d v="2026-04-09T00:00:00"/>
    <x v="1"/>
    <n v="1263071"/>
    <n v="772"/>
    <x v="6"/>
    <x v="1"/>
    <n v="112"/>
    <n v="6045.47"/>
    <x v="0"/>
  </r>
  <r>
    <s v="HSBC100198"/>
    <s v="Sanjay Das"/>
    <n v="61"/>
    <x v="6"/>
    <x v="2"/>
    <x v="3"/>
    <d v="2025-12-15T00:00:00"/>
    <x v="3"/>
    <n v="3525072"/>
    <n v="847"/>
    <x v="5"/>
    <x v="1"/>
    <n v="2"/>
    <n v="14975.66"/>
    <x v="0"/>
  </r>
  <r>
    <s v="HSBC100199"/>
    <s v="Vikram Iyer"/>
    <n v="37"/>
    <x v="3"/>
    <x v="1"/>
    <x v="1"/>
    <d v="2026-02-07T00:00:00"/>
    <x v="1"/>
    <n v="3538560"/>
    <n v="839"/>
    <x v="6"/>
    <x v="2"/>
    <n v="56"/>
    <n v="10361.049999999999"/>
    <x v="0"/>
  </r>
  <r>
    <s v="HSBC100200"/>
    <s v="Nikhil Banerjee"/>
    <n v="44"/>
    <x v="7"/>
    <x v="0"/>
    <x v="0"/>
    <d v="2025-12-12T00:00:00"/>
    <x v="1"/>
    <n v="1936090"/>
    <n v="674"/>
    <x v="0"/>
    <x v="2"/>
    <n v="79"/>
    <n v="17139.04"/>
    <x v="0"/>
  </r>
  <r>
    <s v="HSBC100201"/>
    <s v="Aditya Mehta"/>
    <n v="41"/>
    <x v="4"/>
    <x v="0"/>
    <x v="1"/>
    <d v="2026-05-26T00:00:00"/>
    <x v="4"/>
    <n v="537906"/>
    <n v="704"/>
    <x v="3"/>
    <x v="0"/>
    <n v="103"/>
    <n v="10115.06"/>
    <x v="0"/>
  </r>
  <r>
    <s v="HSBC100202"/>
    <s v="Vikram Das"/>
    <n v="59"/>
    <x v="4"/>
    <x v="3"/>
    <x v="1"/>
    <d v="2025-05-27T00:00:00"/>
    <x v="1"/>
    <n v="3577786"/>
    <n v="620"/>
    <x v="0"/>
    <x v="4"/>
    <n v="28"/>
    <n v="7791.37"/>
    <x v="0"/>
  </r>
  <r>
    <s v="HSBC100203"/>
    <s v="Vikram Chatterjee"/>
    <n v="61"/>
    <x v="1"/>
    <x v="1"/>
    <x v="1"/>
    <d v="2025-05-28T00:00:00"/>
    <x v="3"/>
    <n v="3566900"/>
    <n v="833"/>
    <x v="4"/>
    <x v="1"/>
    <n v="65"/>
    <n v="7545.3"/>
    <x v="0"/>
  </r>
  <r>
    <s v="HSBC100204"/>
    <s v="Sneha Iyer"/>
    <n v="59"/>
    <x v="11"/>
    <x v="1"/>
    <x v="2"/>
    <d v="2026-05-04T00:00:00"/>
    <x v="1"/>
    <n v="1434592"/>
    <n v="586"/>
    <x v="2"/>
    <x v="0"/>
    <n v="5"/>
    <n v="28162.27"/>
    <x v="0"/>
  </r>
  <r>
    <s v="HSBC100205"/>
    <s v="Aarav Gupta"/>
    <n v="33"/>
    <x v="11"/>
    <x v="1"/>
    <x v="3"/>
    <d v="2026-07-05T00:00:00"/>
    <x v="2"/>
    <n v="2395977"/>
    <n v="795"/>
    <x v="3"/>
    <x v="2"/>
    <n v="106"/>
    <n v="18577.13"/>
    <x v="0"/>
  </r>
  <r>
    <s v="HSBC100206"/>
    <s v="Nikhil Malhotra"/>
    <n v="31"/>
    <x v="3"/>
    <x v="2"/>
    <x v="1"/>
    <d v="2025-12-04T00:00:00"/>
    <x v="1"/>
    <n v="2361029"/>
    <n v="648"/>
    <x v="2"/>
    <x v="2"/>
    <n v="22"/>
    <n v="13697.67"/>
    <x v="0"/>
  </r>
  <r>
    <s v="HSBC100207"/>
    <s v="Vikram Khan"/>
    <n v="66"/>
    <x v="10"/>
    <x v="0"/>
    <x v="1"/>
    <d v="2026-04-18T00:00:00"/>
    <x v="1"/>
    <n v="2476217"/>
    <n v="648"/>
    <x v="6"/>
    <x v="1"/>
    <n v="117"/>
    <n v="9830.7900000000009"/>
    <x v="0"/>
  </r>
  <r>
    <s v="HSBC100208"/>
    <s v="Aarav Chatterjee"/>
    <n v="39"/>
    <x v="6"/>
    <x v="2"/>
    <x v="1"/>
    <d v="2025-05-31T00:00:00"/>
    <x v="2"/>
    <n v="882731"/>
    <n v="660"/>
    <x v="1"/>
    <x v="2"/>
    <n v="100"/>
    <n v="5032.84"/>
    <x v="0"/>
  </r>
  <r>
    <s v="HSBC100209"/>
    <s v="Meera Singh"/>
    <n v="31"/>
    <x v="11"/>
    <x v="1"/>
    <x v="2"/>
    <d v="2026-02-19T00:00:00"/>
    <x v="2"/>
    <n v="611756"/>
    <n v="609"/>
    <x v="4"/>
    <x v="2"/>
    <n v="110"/>
    <n v="6489.29"/>
    <x v="0"/>
  </r>
  <r>
    <s v="HSBC100210"/>
    <s v="Sneha Chatterjee"/>
    <n v="33"/>
    <x v="3"/>
    <x v="1"/>
    <x v="1"/>
    <d v="2025-10-25T00:00:00"/>
    <x v="4"/>
    <n v="2464826"/>
    <n v="652"/>
    <x v="6"/>
    <x v="3"/>
    <n v="13"/>
    <n v="27389.22"/>
    <x v="2"/>
  </r>
  <r>
    <s v="HSBC100211"/>
    <s v="Sneha Singh"/>
    <n v="66"/>
    <x v="8"/>
    <x v="1"/>
    <x v="0"/>
    <d v="2025-09-20T00:00:00"/>
    <x v="1"/>
    <n v="3510802"/>
    <n v="841"/>
    <x v="5"/>
    <x v="4"/>
    <n v="65"/>
    <n v="24810.63"/>
    <x v="0"/>
  </r>
  <r>
    <s v="HSBC100212"/>
    <s v="Priya Roy"/>
    <n v="65"/>
    <x v="0"/>
    <x v="3"/>
    <x v="2"/>
    <d v="2025-05-24T00:00:00"/>
    <x v="1"/>
    <n v="2271363"/>
    <n v="668"/>
    <x v="6"/>
    <x v="2"/>
    <n v="16"/>
    <n v="4532.3599999999997"/>
    <x v="0"/>
  </r>
  <r>
    <s v="HSBC100213"/>
    <s v="Rahul Khan"/>
    <n v="21"/>
    <x v="8"/>
    <x v="0"/>
    <x v="2"/>
    <d v="2025-12-12T00:00:00"/>
    <x v="1"/>
    <n v="767257"/>
    <n v="787"/>
    <x v="3"/>
    <x v="3"/>
    <n v="119"/>
    <n v="9945.9"/>
    <x v="0"/>
  </r>
  <r>
    <s v="HSBC100214"/>
    <s v="Karan Sen"/>
    <n v="60"/>
    <x v="9"/>
    <x v="3"/>
    <x v="1"/>
    <d v="2026-07-26T00:00:00"/>
    <x v="0"/>
    <n v="1550457"/>
    <n v="792"/>
    <x v="0"/>
    <x v="0"/>
    <n v="105"/>
    <n v="15114.21"/>
    <x v="0"/>
  </r>
  <r>
    <s v="HSBC100215"/>
    <s v="Ananya Iyer"/>
    <n v="64"/>
    <x v="7"/>
    <x v="1"/>
    <x v="3"/>
    <d v="2025-01-02T00:00:00"/>
    <x v="1"/>
    <n v="4475933"/>
    <n v="845"/>
    <x v="1"/>
    <x v="2"/>
    <n v="86"/>
    <n v="14112.89"/>
    <x v="0"/>
  </r>
  <r>
    <s v="HSBC100216"/>
    <s v="Nikhil Verma"/>
    <n v="39"/>
    <x v="1"/>
    <x v="0"/>
    <x v="1"/>
    <d v="2025-10-31T00:00:00"/>
    <x v="1"/>
    <n v="1731257"/>
    <n v="786"/>
    <x v="2"/>
    <x v="0"/>
    <n v="64"/>
    <n v="13999.22"/>
    <x v="0"/>
  </r>
  <r>
    <s v="HSBC100217"/>
    <s v="Priya Banerjee"/>
    <n v="32"/>
    <x v="11"/>
    <x v="0"/>
    <x v="1"/>
    <d v="2025-09-11T00:00:00"/>
    <x v="1"/>
    <n v="2301933"/>
    <n v="656"/>
    <x v="6"/>
    <x v="2"/>
    <n v="32"/>
    <n v="2785.89"/>
    <x v="0"/>
  </r>
  <r>
    <s v="HSBC100218"/>
    <s v="Ananya Sen"/>
    <n v="28"/>
    <x v="9"/>
    <x v="1"/>
    <x v="0"/>
    <d v="2026-03-29T00:00:00"/>
    <x v="2"/>
    <n v="3149359"/>
    <n v="626"/>
    <x v="6"/>
    <x v="1"/>
    <n v="80"/>
    <n v="2617.41"/>
    <x v="0"/>
  </r>
  <r>
    <s v="HSBC100219"/>
    <s v="Karan Verma"/>
    <n v="28"/>
    <x v="5"/>
    <x v="2"/>
    <x v="2"/>
    <d v="2025-02-06T00:00:00"/>
    <x v="1"/>
    <n v="3036719"/>
    <n v="689"/>
    <x v="0"/>
    <x v="3"/>
    <n v="51"/>
    <n v="30598.45"/>
    <x v="0"/>
  </r>
  <r>
    <s v="HSBC100220"/>
    <s v="Amit Roy"/>
    <n v="65"/>
    <x v="9"/>
    <x v="3"/>
    <x v="1"/>
    <d v="2025-06-09T00:00:00"/>
    <x v="3"/>
    <n v="3811497"/>
    <n v="779"/>
    <x v="1"/>
    <x v="3"/>
    <n v="79"/>
    <n v="43672.61"/>
    <x v="0"/>
  </r>
  <r>
    <s v="HSBC100221"/>
    <s v="Vivaan Nair"/>
    <n v="32"/>
    <x v="3"/>
    <x v="2"/>
    <x v="1"/>
    <d v="2025-01-09T00:00:00"/>
    <x v="1"/>
    <n v="512199"/>
    <n v="789"/>
    <x v="7"/>
    <x v="1"/>
    <n v="58"/>
    <n v="1890.13"/>
    <x v="0"/>
  </r>
  <r>
    <s v="HSBC100222"/>
    <s v="Sneha Iyer"/>
    <n v="68"/>
    <x v="11"/>
    <x v="2"/>
    <x v="0"/>
    <d v="2025-08-21T00:00:00"/>
    <x v="5"/>
    <n v="3120524"/>
    <n v="733"/>
    <x v="2"/>
    <x v="4"/>
    <n v="46"/>
    <n v="8698.0300000000007"/>
    <x v="0"/>
  </r>
  <r>
    <s v="HSBC100223"/>
    <s v="Ishita Patel"/>
    <n v="53"/>
    <x v="0"/>
    <x v="1"/>
    <x v="1"/>
    <d v="2025-04-09T00:00:00"/>
    <x v="1"/>
    <n v="1387273"/>
    <n v="589"/>
    <x v="6"/>
    <x v="3"/>
    <n v="52"/>
    <n v="21052.05"/>
    <x v="0"/>
  </r>
  <r>
    <s v="HSBC100224"/>
    <s v="Vivaan Malhotra"/>
    <n v="65"/>
    <x v="7"/>
    <x v="1"/>
    <x v="0"/>
    <d v="2025-07-27T00:00:00"/>
    <x v="2"/>
    <n v="4117293"/>
    <n v="736"/>
    <x v="6"/>
    <x v="0"/>
    <n v="106"/>
    <n v="885.39"/>
    <x v="1"/>
  </r>
  <r>
    <s v="HSBC100225"/>
    <s v="Sneha Nair"/>
    <n v="46"/>
    <x v="3"/>
    <x v="3"/>
    <x v="2"/>
    <d v="2025-05-11T00:00:00"/>
    <x v="3"/>
    <n v="283734"/>
    <n v="840"/>
    <x v="7"/>
    <x v="3"/>
    <n v="117"/>
    <n v="2901.54"/>
    <x v="0"/>
  </r>
  <r>
    <s v="HSBC100226"/>
    <s v="Sanjay Singh"/>
    <n v="59"/>
    <x v="3"/>
    <x v="1"/>
    <x v="1"/>
    <d v="2026-02-08T00:00:00"/>
    <x v="1"/>
    <n v="463299"/>
    <n v="656"/>
    <x v="2"/>
    <x v="4"/>
    <n v="63"/>
    <n v="8129"/>
    <x v="0"/>
  </r>
  <r>
    <s v="HSBC100227"/>
    <s v="Sanjay Mehta"/>
    <n v="48"/>
    <x v="1"/>
    <x v="2"/>
    <x v="1"/>
    <d v="2025-06-01T00:00:00"/>
    <x v="0"/>
    <n v="3021034"/>
    <n v="836"/>
    <x v="3"/>
    <x v="0"/>
    <n v="76"/>
    <n v="4783.3599999999997"/>
    <x v="0"/>
  </r>
  <r>
    <s v="HSBC100228"/>
    <s v="Vivaan Khan"/>
    <n v="25"/>
    <x v="1"/>
    <x v="2"/>
    <x v="1"/>
    <d v="2025-02-23T00:00:00"/>
    <x v="1"/>
    <n v="392728"/>
    <n v="710"/>
    <x v="3"/>
    <x v="0"/>
    <n v="60"/>
    <n v="11154.53"/>
    <x v="0"/>
  </r>
  <r>
    <s v="HSBC100229"/>
    <s v="Sneha Mondal"/>
    <n v="28"/>
    <x v="6"/>
    <x v="0"/>
    <x v="0"/>
    <d v="2025-04-30T00:00:00"/>
    <x v="0"/>
    <n v="921253"/>
    <n v="646"/>
    <x v="4"/>
    <x v="1"/>
    <n v="65"/>
    <n v="41940.449999999997"/>
    <x v="2"/>
  </r>
  <r>
    <s v="HSBC100230"/>
    <s v="Meera Gupta"/>
    <n v="45"/>
    <x v="6"/>
    <x v="3"/>
    <x v="2"/>
    <d v="2026-08-10T00:00:00"/>
    <x v="2"/>
    <n v="1803185"/>
    <n v="807"/>
    <x v="4"/>
    <x v="2"/>
    <n v="117"/>
    <n v="3657.6"/>
    <x v="0"/>
  </r>
  <r>
    <s v="HSBC100231"/>
    <s v="Nikhil Nair"/>
    <n v="47"/>
    <x v="4"/>
    <x v="1"/>
    <x v="1"/>
    <d v="2026-02-24T00:00:00"/>
    <x v="1"/>
    <n v="1256152"/>
    <n v="742"/>
    <x v="5"/>
    <x v="1"/>
    <n v="81"/>
    <n v="9440.7099999999991"/>
    <x v="0"/>
  </r>
  <r>
    <s v="HSBC100232"/>
    <s v="Karan Banerjee"/>
    <n v="66"/>
    <x v="10"/>
    <x v="1"/>
    <x v="2"/>
    <d v="2026-02-26T00:00:00"/>
    <x v="1"/>
    <n v="943812"/>
    <n v="594"/>
    <x v="0"/>
    <x v="2"/>
    <n v="105"/>
    <n v="6235.19"/>
    <x v="0"/>
  </r>
  <r>
    <s v="HSBC100233"/>
    <s v="Neha Malhotra"/>
    <n v="43"/>
    <x v="11"/>
    <x v="1"/>
    <x v="3"/>
    <d v="2025-04-14T00:00:00"/>
    <x v="1"/>
    <n v="1967202"/>
    <n v="811"/>
    <x v="1"/>
    <x v="1"/>
    <n v="55"/>
    <n v="10333.879999999999"/>
    <x v="0"/>
  </r>
  <r>
    <s v="HSBC100234"/>
    <s v="Vivaan Verma"/>
    <n v="50"/>
    <x v="11"/>
    <x v="1"/>
    <x v="1"/>
    <d v="2025-09-11T00:00:00"/>
    <x v="1"/>
    <n v="3512331"/>
    <n v="774"/>
    <x v="6"/>
    <x v="2"/>
    <n v="115"/>
    <n v="9010"/>
    <x v="0"/>
  </r>
  <r>
    <s v="HSBC100235"/>
    <s v="Kavya Nair"/>
    <n v="65"/>
    <x v="2"/>
    <x v="1"/>
    <x v="3"/>
    <d v="2025-08-15T00:00:00"/>
    <x v="1"/>
    <n v="4243767"/>
    <n v="609"/>
    <x v="2"/>
    <x v="3"/>
    <n v="57"/>
    <n v="142779.69"/>
    <x v="0"/>
  </r>
  <r>
    <s v="HSBC100236"/>
    <s v="Rohan Iyer"/>
    <n v="67"/>
    <x v="9"/>
    <x v="1"/>
    <x v="1"/>
    <d v="2025-04-22T00:00:00"/>
    <x v="1"/>
    <n v="4075091"/>
    <n v="799"/>
    <x v="6"/>
    <x v="0"/>
    <n v="114"/>
    <n v="42789.86"/>
    <x v="0"/>
  </r>
  <r>
    <s v="HSBC100237"/>
    <s v="Arjun Roy"/>
    <n v="43"/>
    <x v="11"/>
    <x v="2"/>
    <x v="1"/>
    <d v="2026-05-25T00:00:00"/>
    <x v="1"/>
    <n v="902168"/>
    <n v="726"/>
    <x v="4"/>
    <x v="2"/>
    <n v="92"/>
    <n v="1702.78"/>
    <x v="0"/>
  </r>
  <r>
    <s v="HSBC100238"/>
    <s v="Arjun Das"/>
    <n v="69"/>
    <x v="11"/>
    <x v="3"/>
    <x v="1"/>
    <d v="2026-04-18T00:00:00"/>
    <x v="4"/>
    <n v="3939638"/>
    <n v="838"/>
    <x v="5"/>
    <x v="3"/>
    <n v="71"/>
    <n v="3480.25"/>
    <x v="0"/>
  </r>
  <r>
    <s v="HSBC100239"/>
    <s v="Arjun Chatterjee"/>
    <n v="67"/>
    <x v="10"/>
    <x v="1"/>
    <x v="1"/>
    <d v="2025-04-09T00:00:00"/>
    <x v="1"/>
    <n v="1445055"/>
    <n v="722"/>
    <x v="2"/>
    <x v="4"/>
    <n v="73"/>
    <n v="3957.03"/>
    <x v="0"/>
  </r>
  <r>
    <s v="HSBC100240"/>
    <s v="Sanjay Khan"/>
    <n v="40"/>
    <x v="5"/>
    <x v="1"/>
    <x v="1"/>
    <d v="2025-06-02T00:00:00"/>
    <x v="1"/>
    <n v="1458957"/>
    <n v="814"/>
    <x v="2"/>
    <x v="1"/>
    <n v="86"/>
    <n v="2450.41"/>
    <x v="1"/>
  </r>
  <r>
    <s v="HSBC100241"/>
    <s v="Sanjay Banerjee"/>
    <n v="38"/>
    <x v="6"/>
    <x v="3"/>
    <x v="1"/>
    <d v="2025-12-04T00:00:00"/>
    <x v="2"/>
    <n v="1391766"/>
    <n v="694"/>
    <x v="6"/>
    <x v="4"/>
    <n v="26"/>
    <n v="2128.6"/>
    <x v="0"/>
  </r>
  <r>
    <s v="HSBC100242"/>
    <s v="Aarav Gupta"/>
    <n v="38"/>
    <x v="6"/>
    <x v="1"/>
    <x v="3"/>
    <d v="2025-06-12T00:00:00"/>
    <x v="1"/>
    <n v="1026644"/>
    <n v="669"/>
    <x v="0"/>
    <x v="3"/>
    <n v="117"/>
    <n v="7425.8"/>
    <x v="0"/>
  </r>
  <r>
    <s v="HSBC100243"/>
    <s v="Amit Das"/>
    <n v="22"/>
    <x v="0"/>
    <x v="1"/>
    <x v="0"/>
    <d v="2025-06-10T00:00:00"/>
    <x v="1"/>
    <n v="3613712"/>
    <n v="787"/>
    <x v="5"/>
    <x v="4"/>
    <n v="12"/>
    <n v="4118.84"/>
    <x v="0"/>
  </r>
  <r>
    <s v="HSBC100244"/>
    <s v="Pooja Malhotra"/>
    <n v="24"/>
    <x v="11"/>
    <x v="1"/>
    <x v="0"/>
    <d v="2026-08-03T00:00:00"/>
    <x v="1"/>
    <n v="774658"/>
    <n v="743"/>
    <x v="0"/>
    <x v="4"/>
    <n v="71"/>
    <n v="3514.55"/>
    <x v="1"/>
  </r>
  <r>
    <s v="HSBC100245"/>
    <s v="Kavya Iyer"/>
    <n v="50"/>
    <x v="10"/>
    <x v="0"/>
    <x v="1"/>
    <d v="2026-02-02T00:00:00"/>
    <x v="3"/>
    <n v="1036918"/>
    <n v="663"/>
    <x v="5"/>
    <x v="3"/>
    <n v="46"/>
    <n v="74719.600000000006"/>
    <x v="0"/>
  </r>
  <r>
    <s v="HSBC100246"/>
    <s v="Ishita Roy"/>
    <n v="53"/>
    <x v="7"/>
    <x v="1"/>
    <x v="1"/>
    <d v="2025-10-04T00:00:00"/>
    <x v="3"/>
    <n v="253196"/>
    <n v="656"/>
    <x v="6"/>
    <x v="0"/>
    <n v="47"/>
    <n v="4427.45"/>
    <x v="0"/>
  </r>
  <r>
    <s v="HSBC100247"/>
    <s v="Aditya Roy"/>
    <n v="56"/>
    <x v="6"/>
    <x v="3"/>
    <x v="1"/>
    <d v="2026-05-19T00:00:00"/>
    <x v="1"/>
    <n v="1799648"/>
    <n v="740"/>
    <x v="5"/>
    <x v="2"/>
    <n v="79"/>
    <n v="5623.3"/>
    <x v="0"/>
  </r>
  <r>
    <s v="HSBC100248"/>
    <s v="Ishita Patel"/>
    <n v="38"/>
    <x v="10"/>
    <x v="1"/>
    <x v="0"/>
    <d v="2026-01-27T00:00:00"/>
    <x v="2"/>
    <n v="3907919"/>
    <n v="584"/>
    <x v="3"/>
    <x v="5"/>
    <n v="38"/>
    <n v="19507.009999999998"/>
    <x v="0"/>
  </r>
  <r>
    <s v="HSBC100249"/>
    <s v="Ananya Sharma"/>
    <n v="57"/>
    <x v="8"/>
    <x v="1"/>
    <x v="3"/>
    <d v="2025-05-15T00:00:00"/>
    <x v="2"/>
    <n v="3928588"/>
    <n v="657"/>
    <x v="2"/>
    <x v="2"/>
    <n v="21"/>
    <n v="5603.49"/>
    <x v="0"/>
  </r>
  <r>
    <s v="HSBC100250"/>
    <s v="Rahul Verma"/>
    <n v="39"/>
    <x v="5"/>
    <x v="1"/>
    <x v="1"/>
    <d v="2025-07-14T00:00:00"/>
    <x v="2"/>
    <n v="2853680"/>
    <n v="670"/>
    <x v="1"/>
    <x v="1"/>
    <n v="14"/>
    <n v="2633.43"/>
    <x v="0"/>
  </r>
  <r>
    <s v="HSBC100251"/>
    <s v="Kavya Malhotra"/>
    <n v="67"/>
    <x v="11"/>
    <x v="1"/>
    <x v="1"/>
    <d v="2026-02-05T00:00:00"/>
    <x v="2"/>
    <n v="1720017"/>
    <n v="666"/>
    <x v="6"/>
    <x v="2"/>
    <n v="2"/>
    <n v="6830.57"/>
    <x v="0"/>
  </r>
  <r>
    <s v="HSBC100252"/>
    <s v="Nikhil Chatterjee"/>
    <n v="48"/>
    <x v="0"/>
    <x v="0"/>
    <x v="2"/>
    <d v="2025-02-02T00:00:00"/>
    <x v="2"/>
    <n v="2917293"/>
    <n v="849"/>
    <x v="7"/>
    <x v="4"/>
    <n v="72"/>
    <n v="73804.14"/>
    <x v="0"/>
  </r>
  <r>
    <s v="HSBC100253"/>
    <s v="Vivaan Nair"/>
    <n v="60"/>
    <x v="9"/>
    <x v="2"/>
    <x v="1"/>
    <d v="2026-04-05T00:00:00"/>
    <x v="1"/>
    <n v="3034787"/>
    <n v="683"/>
    <x v="1"/>
    <x v="0"/>
    <n v="109"/>
    <n v="5401.79"/>
    <x v="0"/>
  </r>
  <r>
    <s v="HSBC100254"/>
    <s v="Vivaan Iyer"/>
    <n v="40"/>
    <x v="6"/>
    <x v="2"/>
    <x v="1"/>
    <d v="2026-04-15T00:00:00"/>
    <x v="1"/>
    <n v="1108811"/>
    <n v="754"/>
    <x v="6"/>
    <x v="4"/>
    <n v="119"/>
    <n v="3438"/>
    <x v="1"/>
  </r>
  <r>
    <s v="HSBC100255"/>
    <s v="Arjun Sharma"/>
    <n v="69"/>
    <x v="8"/>
    <x v="0"/>
    <x v="2"/>
    <d v="2026-01-10T00:00:00"/>
    <x v="1"/>
    <n v="4314337"/>
    <n v="633"/>
    <x v="1"/>
    <x v="0"/>
    <n v="70"/>
    <n v="13922.23"/>
    <x v="0"/>
  </r>
  <r>
    <s v="HSBC100256"/>
    <s v="Aditya Iyer"/>
    <n v="53"/>
    <x v="7"/>
    <x v="2"/>
    <x v="0"/>
    <d v="2025-01-22T00:00:00"/>
    <x v="3"/>
    <n v="2914649"/>
    <n v="790"/>
    <x v="3"/>
    <x v="3"/>
    <n v="101"/>
    <n v="6495.01"/>
    <x v="0"/>
  </r>
  <r>
    <s v="HSBC100257"/>
    <s v="Neha Patel"/>
    <n v="32"/>
    <x v="10"/>
    <x v="2"/>
    <x v="1"/>
    <d v="2025-02-07T00:00:00"/>
    <x v="2"/>
    <n v="3886119"/>
    <n v="674"/>
    <x v="1"/>
    <x v="1"/>
    <n v="101"/>
    <n v="158886.25"/>
    <x v="1"/>
  </r>
  <r>
    <s v="HSBC100258"/>
    <s v="Kavya Patel"/>
    <n v="35"/>
    <x v="1"/>
    <x v="2"/>
    <x v="1"/>
    <d v="2025-08-18T00:00:00"/>
    <x v="3"/>
    <n v="3307143"/>
    <n v="802"/>
    <x v="5"/>
    <x v="1"/>
    <n v="33"/>
    <n v="3919.65"/>
    <x v="0"/>
  </r>
  <r>
    <s v="HSBC100259"/>
    <s v="Ananya Roy"/>
    <n v="61"/>
    <x v="3"/>
    <x v="1"/>
    <x v="3"/>
    <d v="2025-12-31T00:00:00"/>
    <x v="0"/>
    <n v="3806995"/>
    <n v="588"/>
    <x v="4"/>
    <x v="3"/>
    <n v="105"/>
    <n v="55293.87"/>
    <x v="0"/>
  </r>
  <r>
    <s v="HSBC100260"/>
    <s v="Vivaan Verma"/>
    <n v="59"/>
    <x v="11"/>
    <x v="1"/>
    <x v="1"/>
    <d v="2026-07-17T00:00:00"/>
    <x v="1"/>
    <n v="1917108"/>
    <n v="632"/>
    <x v="1"/>
    <x v="2"/>
    <n v="6"/>
    <n v="30380.58"/>
    <x v="0"/>
  </r>
  <r>
    <s v="HSBC100261"/>
    <s v="Pooja Roy"/>
    <n v="22"/>
    <x v="11"/>
    <x v="1"/>
    <x v="1"/>
    <d v="2026-03-14T00:00:00"/>
    <x v="2"/>
    <n v="3103507"/>
    <n v="656"/>
    <x v="6"/>
    <x v="3"/>
    <n v="116"/>
    <n v="6000.44"/>
    <x v="0"/>
  </r>
  <r>
    <s v="HSBC100262"/>
    <s v="Ananya Chatterjee"/>
    <n v="49"/>
    <x v="8"/>
    <x v="0"/>
    <x v="1"/>
    <d v="2025-10-10T00:00:00"/>
    <x v="2"/>
    <n v="2031336"/>
    <m/>
    <x v="7"/>
    <x v="3"/>
    <n v="90"/>
    <n v="8922.2999999999993"/>
    <x v="0"/>
  </r>
  <r>
    <s v="HSBC100263"/>
    <s v="Aditya Sharma"/>
    <n v="61"/>
    <x v="10"/>
    <x v="1"/>
    <x v="1"/>
    <d v="2025-01-27T00:00:00"/>
    <x v="0"/>
    <n v="874588"/>
    <n v="691"/>
    <x v="7"/>
    <x v="0"/>
    <n v="103"/>
    <n v="3037"/>
    <x v="0"/>
  </r>
  <r>
    <s v="HSBC100264"/>
    <s v="Ishita Mehta"/>
    <n v="30"/>
    <x v="4"/>
    <x v="1"/>
    <x v="1"/>
    <d v="2025-08-14T00:00:00"/>
    <x v="5"/>
    <n v="2404327"/>
    <n v="744"/>
    <x v="4"/>
    <x v="3"/>
    <n v="105"/>
    <n v="5087.9799999999996"/>
    <x v="0"/>
  </r>
  <r>
    <s v="HSBC100265"/>
    <s v="Kavya Malhotra"/>
    <n v="22"/>
    <x v="11"/>
    <x v="2"/>
    <x v="0"/>
    <d v="2025-10-04T00:00:00"/>
    <x v="2"/>
    <n v="4320081"/>
    <n v="606"/>
    <x v="0"/>
    <x v="1"/>
    <n v="37"/>
    <n v="5955.87"/>
    <x v="0"/>
  </r>
  <r>
    <s v="HSBC100266"/>
    <s v="Rohan Chatterjee"/>
    <n v="31"/>
    <x v="4"/>
    <x v="2"/>
    <x v="1"/>
    <d v="2025-10-11T00:00:00"/>
    <x v="1"/>
    <n v="1400127"/>
    <n v="649"/>
    <x v="4"/>
    <x v="4"/>
    <n v="14"/>
    <n v="10569.69"/>
    <x v="0"/>
  </r>
  <r>
    <s v="HSBC100267"/>
    <s v="Varun Gupta"/>
    <n v="33"/>
    <x v="7"/>
    <x v="2"/>
    <x v="1"/>
    <d v="2026-04-26T00:00:00"/>
    <x v="4"/>
    <n v="2739913"/>
    <n v="797"/>
    <x v="2"/>
    <x v="0"/>
    <n v="37"/>
    <n v="2031.82"/>
    <x v="2"/>
  </r>
  <r>
    <s v="HSBC100268"/>
    <s v="Nikhil Singh"/>
    <n v="30"/>
    <x v="1"/>
    <x v="1"/>
    <x v="0"/>
    <d v="2026-03-29T00:00:00"/>
    <x v="1"/>
    <n v="4167000"/>
    <n v="768"/>
    <x v="1"/>
    <x v="0"/>
    <n v="8"/>
    <n v="12419.94"/>
    <x v="0"/>
  </r>
  <r>
    <s v="HSBC100269"/>
    <s v="Rohan Mondal"/>
    <n v="34"/>
    <x v="8"/>
    <x v="0"/>
    <x v="2"/>
    <d v="2026-05-31T00:00:00"/>
    <x v="4"/>
    <n v="2928306"/>
    <n v="703"/>
    <x v="7"/>
    <x v="2"/>
    <n v="103"/>
    <n v="7683.56"/>
    <x v="0"/>
  </r>
  <r>
    <s v="HSBC100270"/>
    <s v="Aarav Banerjee"/>
    <n v="38"/>
    <x v="10"/>
    <x v="1"/>
    <x v="0"/>
    <d v="2026-07-01T00:00:00"/>
    <x v="3"/>
    <n v="2464904"/>
    <n v="598"/>
    <x v="4"/>
    <x v="4"/>
    <n v="77"/>
    <n v="13602.56"/>
    <x v="0"/>
  </r>
  <r>
    <s v="HSBC100271"/>
    <s v="Rahul Verma"/>
    <n v="29"/>
    <x v="10"/>
    <x v="1"/>
    <x v="0"/>
    <d v="2025-07-11T00:00:00"/>
    <x v="1"/>
    <n v="2600716"/>
    <n v="836"/>
    <x v="1"/>
    <x v="0"/>
    <n v="13"/>
    <n v="15909.5"/>
    <x v="0"/>
  </r>
  <r>
    <s v="HSBC100272"/>
    <s v="Vivaan Iyer"/>
    <n v="59"/>
    <x v="2"/>
    <x v="1"/>
    <x v="1"/>
    <d v="2025-02-18T00:00:00"/>
    <x v="2"/>
    <n v="2069456"/>
    <n v="601"/>
    <x v="2"/>
    <x v="3"/>
    <n v="40"/>
    <n v="7064.01"/>
    <x v="0"/>
  </r>
  <r>
    <s v="HSBC100273"/>
    <s v="Aditya Malhotra"/>
    <n v="48"/>
    <x v="7"/>
    <x v="1"/>
    <x v="0"/>
    <d v="2026-05-27T00:00:00"/>
    <x v="1"/>
    <n v="1514008"/>
    <n v="619"/>
    <x v="7"/>
    <x v="0"/>
    <n v="107"/>
    <n v="14952.11"/>
    <x v="0"/>
  </r>
  <r>
    <s v="HSBC100274"/>
    <s v="Sanjay Singh"/>
    <n v="23"/>
    <x v="7"/>
    <x v="1"/>
    <x v="1"/>
    <d v="2025-01-17T00:00:00"/>
    <x v="1"/>
    <n v="3018654"/>
    <n v="617"/>
    <x v="2"/>
    <x v="0"/>
    <n v="92"/>
    <n v="8171.97"/>
    <x v="0"/>
  </r>
  <r>
    <s v="HSBC100275"/>
    <s v="Ishita Das"/>
    <n v="40"/>
    <x v="5"/>
    <x v="2"/>
    <x v="3"/>
    <d v="2025-06-21T00:00:00"/>
    <x v="1"/>
    <n v="1632212"/>
    <n v="627"/>
    <x v="1"/>
    <x v="0"/>
    <n v="58"/>
    <n v="19548.36"/>
    <x v="0"/>
  </r>
  <r>
    <s v="HSBC100276"/>
    <s v="Kavya Khan"/>
    <n v="26"/>
    <x v="3"/>
    <x v="1"/>
    <x v="2"/>
    <d v="2025-08-08T00:00:00"/>
    <x v="4"/>
    <n v="1509112"/>
    <n v="762"/>
    <x v="6"/>
    <x v="2"/>
    <n v="18"/>
    <n v="12480.62"/>
    <x v="0"/>
  </r>
  <r>
    <s v="HSBC100277"/>
    <s v="Meera Chatterjee"/>
    <n v="47"/>
    <x v="6"/>
    <x v="2"/>
    <x v="3"/>
    <d v="2025-06-07T00:00:00"/>
    <x v="3"/>
    <n v="4126345"/>
    <n v="654"/>
    <x v="1"/>
    <x v="0"/>
    <n v="57"/>
    <n v="10830.2"/>
    <x v="0"/>
  </r>
  <r>
    <s v="HSBC100278"/>
    <s v="Vikram Khan"/>
    <n v="22"/>
    <x v="6"/>
    <x v="0"/>
    <x v="0"/>
    <d v="2026-04-22T00:00:00"/>
    <x v="0"/>
    <n v="3430863"/>
    <n v="788"/>
    <x v="4"/>
    <x v="0"/>
    <n v="83"/>
    <n v="8041.99"/>
    <x v="0"/>
  </r>
  <r>
    <s v="HSBC100279"/>
    <s v="Pooja Singh"/>
    <n v="49"/>
    <x v="2"/>
    <x v="1"/>
    <x v="1"/>
    <d v="2025-02-15T00:00:00"/>
    <x v="1"/>
    <n v="2483414"/>
    <n v="762"/>
    <x v="2"/>
    <x v="2"/>
    <n v="38"/>
    <n v="34912.730000000003"/>
    <x v="0"/>
  </r>
  <r>
    <s v="HSBC100280"/>
    <s v="Sanjay Iyer"/>
    <n v="58"/>
    <x v="9"/>
    <x v="1"/>
    <x v="2"/>
    <d v="2026-01-08T00:00:00"/>
    <x v="3"/>
    <n v="1893063"/>
    <n v="686"/>
    <x v="6"/>
    <x v="4"/>
    <n v="32"/>
    <n v="13704.02"/>
    <x v="0"/>
  </r>
  <r>
    <s v="HSBC100281"/>
    <s v="Vikram Verma"/>
    <n v="23"/>
    <x v="0"/>
    <x v="1"/>
    <x v="3"/>
    <d v="2026-06-02T00:00:00"/>
    <x v="4"/>
    <n v="254331"/>
    <n v="767"/>
    <x v="6"/>
    <x v="1"/>
    <n v="86"/>
    <n v="2236.0500000000002"/>
    <x v="0"/>
  </r>
  <r>
    <s v="HSBC100282"/>
    <s v="Pooja Das"/>
    <n v="36"/>
    <x v="8"/>
    <x v="0"/>
    <x v="0"/>
    <d v="2025-04-09T00:00:00"/>
    <x v="1"/>
    <n v="1815976"/>
    <n v="843"/>
    <x v="0"/>
    <x v="2"/>
    <n v="66"/>
    <n v="5455.89"/>
    <x v="0"/>
  </r>
  <r>
    <s v="HSBC100283"/>
    <s v="Varun Patel"/>
    <n v="50"/>
    <x v="1"/>
    <x v="1"/>
    <x v="1"/>
    <d v="2025-02-06T00:00:00"/>
    <x v="1"/>
    <n v="4226808"/>
    <n v="665"/>
    <x v="7"/>
    <x v="2"/>
    <n v="77"/>
    <n v="7044.38"/>
    <x v="0"/>
  </r>
  <r>
    <s v="HSBC100284"/>
    <s v="Aditya Iyer"/>
    <n v="60"/>
    <x v="10"/>
    <x v="1"/>
    <x v="0"/>
    <d v="2025-10-07T00:00:00"/>
    <x v="1"/>
    <n v="462854"/>
    <m/>
    <x v="5"/>
    <x v="0"/>
    <n v="87"/>
    <n v="8944.74"/>
    <x v="2"/>
  </r>
  <r>
    <s v="HSBC100285"/>
    <s v="Ishita Sen"/>
    <n v="22"/>
    <x v="3"/>
    <x v="1"/>
    <x v="1"/>
    <d v="2025-12-15T00:00:00"/>
    <x v="3"/>
    <n v="1803416"/>
    <n v="674"/>
    <x v="6"/>
    <x v="0"/>
    <n v="25"/>
    <n v="10781.02"/>
    <x v="0"/>
  </r>
  <r>
    <s v="HSBC100286"/>
    <s v="Aditya Roy"/>
    <n v="37"/>
    <x v="4"/>
    <x v="0"/>
    <x v="1"/>
    <d v="2026-05-12T00:00:00"/>
    <x v="2"/>
    <n v="3206156"/>
    <n v="824"/>
    <x v="2"/>
    <x v="1"/>
    <n v="92"/>
    <n v="3322.83"/>
    <x v="0"/>
  </r>
  <r>
    <s v="HSBC100287"/>
    <s v="Pooja Verma"/>
    <n v="61"/>
    <x v="8"/>
    <x v="2"/>
    <x v="1"/>
    <d v="2025-10-29T00:00:00"/>
    <x v="4"/>
    <n v="2531696"/>
    <n v="669"/>
    <x v="7"/>
    <x v="0"/>
    <n v="58"/>
    <n v="8338.2000000000007"/>
    <x v="0"/>
  </r>
  <r>
    <s v="HSBC100288"/>
    <s v="Pooja Patel"/>
    <n v="32"/>
    <x v="9"/>
    <x v="1"/>
    <x v="1"/>
    <d v="2025-06-30T00:00:00"/>
    <x v="1"/>
    <n v="1383243"/>
    <n v="638"/>
    <x v="3"/>
    <x v="3"/>
    <n v="75"/>
    <n v="6439.28"/>
    <x v="0"/>
  </r>
  <r>
    <s v="HSBC100289"/>
    <s v="Sanjay Nair"/>
    <n v="55"/>
    <x v="8"/>
    <x v="2"/>
    <x v="0"/>
    <d v="2026-08-30T00:00:00"/>
    <x v="4"/>
    <n v="254677"/>
    <n v="607"/>
    <x v="1"/>
    <x v="0"/>
    <n v="33"/>
    <n v="27972.62"/>
    <x v="0"/>
  </r>
  <r>
    <s v="HSBC100290"/>
    <s v="Ishita Roy"/>
    <n v="63"/>
    <x v="9"/>
    <x v="0"/>
    <x v="1"/>
    <d v="2025-04-09T00:00:00"/>
    <x v="1"/>
    <n v="454580"/>
    <n v="651"/>
    <x v="4"/>
    <x v="0"/>
    <n v="88"/>
    <n v="3150.03"/>
    <x v="0"/>
  </r>
  <r>
    <s v="HSBC100291"/>
    <s v="Arjun Singh"/>
    <n v="21"/>
    <x v="10"/>
    <x v="3"/>
    <x v="0"/>
    <d v="2025-04-26T00:00:00"/>
    <x v="1"/>
    <n v="380334"/>
    <n v="849"/>
    <x v="2"/>
    <x v="3"/>
    <n v="66"/>
    <n v="8793.36"/>
    <x v="0"/>
  </r>
  <r>
    <s v="HSBC100292"/>
    <s v="Rahul Malhotra"/>
    <n v="65"/>
    <x v="0"/>
    <x v="2"/>
    <x v="1"/>
    <d v="2025-07-10T00:00:00"/>
    <x v="2"/>
    <n v="2302109"/>
    <n v="603"/>
    <x v="3"/>
    <x v="1"/>
    <n v="30"/>
    <n v="4360.5200000000004"/>
    <x v="0"/>
  </r>
  <r>
    <s v="HSBC100293"/>
    <s v="Vivaan Mehta"/>
    <n v="35"/>
    <x v="9"/>
    <x v="0"/>
    <x v="1"/>
    <d v="2025-09-10T00:00:00"/>
    <x v="1"/>
    <n v="2758963"/>
    <n v="691"/>
    <x v="2"/>
    <x v="3"/>
    <n v="81"/>
    <n v="63331.98"/>
    <x v="0"/>
  </r>
  <r>
    <s v="HSBC100294"/>
    <s v="Vikram Chatterjee"/>
    <n v="46"/>
    <x v="10"/>
    <x v="0"/>
    <x v="1"/>
    <d v="2025-06-10T00:00:00"/>
    <x v="3"/>
    <n v="2131934"/>
    <n v="635"/>
    <x v="1"/>
    <x v="2"/>
    <n v="104"/>
    <n v="33504.81"/>
    <x v="0"/>
  </r>
  <r>
    <s v="HSBC100295"/>
    <s v="Sneha Sharma"/>
    <n v="57"/>
    <x v="10"/>
    <x v="2"/>
    <x v="1"/>
    <d v="2025-09-13T00:00:00"/>
    <x v="1"/>
    <n v="2946711"/>
    <n v="802"/>
    <x v="0"/>
    <x v="3"/>
    <n v="34"/>
    <n v="1596.43"/>
    <x v="1"/>
  </r>
  <r>
    <s v="HSBC100296"/>
    <s v="Vikram Sen"/>
    <n v="41"/>
    <x v="0"/>
    <x v="1"/>
    <x v="1"/>
    <d v="2025-11-19T00:00:00"/>
    <x v="2"/>
    <n v="808745"/>
    <n v="699"/>
    <x v="2"/>
    <x v="4"/>
    <n v="102"/>
    <n v="3881.49"/>
    <x v="0"/>
  </r>
  <r>
    <s v="HSBC100297"/>
    <s v="Amit Nair"/>
    <n v="69"/>
    <x v="6"/>
    <x v="1"/>
    <x v="1"/>
    <d v="2025-05-08T00:00:00"/>
    <x v="1"/>
    <n v="816819"/>
    <n v="758"/>
    <x v="6"/>
    <x v="2"/>
    <n v="86"/>
    <n v="22347.49"/>
    <x v="0"/>
  </r>
  <r>
    <s v="HSBC100298"/>
    <s v="Amit Nair"/>
    <n v="51"/>
    <x v="8"/>
    <x v="1"/>
    <x v="2"/>
    <d v="2025-01-18T00:00:00"/>
    <x v="2"/>
    <n v="4048043"/>
    <n v="768"/>
    <x v="5"/>
    <x v="0"/>
    <n v="69"/>
    <n v="14474.55"/>
    <x v="0"/>
  </r>
  <r>
    <s v="HSBC100299"/>
    <s v="Kavya Verma"/>
    <n v="45"/>
    <x v="2"/>
    <x v="2"/>
    <x v="1"/>
    <d v="2026-07-20T00:00:00"/>
    <x v="1"/>
    <n v="444243"/>
    <n v="645"/>
    <x v="6"/>
    <x v="2"/>
    <n v="48"/>
    <n v="14005.82"/>
    <x v="0"/>
  </r>
  <r>
    <s v="HSBC100300"/>
    <s v="Rahul Malhotra"/>
    <n v="43"/>
    <x v="11"/>
    <x v="2"/>
    <x v="1"/>
    <d v="2026-07-24T00:00:00"/>
    <x v="1"/>
    <n v="3120741"/>
    <m/>
    <x v="1"/>
    <x v="1"/>
    <n v="40"/>
    <n v="10942.34"/>
    <x v="0"/>
  </r>
  <r>
    <s v="HSBC100301"/>
    <s v="Ananya Iyer"/>
    <n v="44"/>
    <x v="11"/>
    <x v="1"/>
    <x v="1"/>
    <d v="2025-11-19T00:00:00"/>
    <x v="3"/>
    <n v="867423"/>
    <n v="655"/>
    <x v="2"/>
    <x v="1"/>
    <n v="51"/>
    <n v="24312.84"/>
    <x v="0"/>
  </r>
  <r>
    <s v="HSBC100302"/>
    <s v="Aarav Khan"/>
    <n v="58"/>
    <x v="2"/>
    <x v="0"/>
    <x v="0"/>
    <d v="2025-10-15T00:00:00"/>
    <x v="1"/>
    <n v="840642"/>
    <n v="716"/>
    <x v="5"/>
    <x v="3"/>
    <n v="80"/>
    <n v="20333.509999999998"/>
    <x v="0"/>
  </r>
  <r>
    <s v="HSBC100303"/>
    <s v="Rahul Singh"/>
    <n v="48"/>
    <x v="4"/>
    <x v="1"/>
    <x v="3"/>
    <d v="2025-06-04T00:00:00"/>
    <x v="4"/>
    <n v="887031"/>
    <n v="743"/>
    <x v="6"/>
    <x v="2"/>
    <n v="13"/>
    <n v="6600.6"/>
    <x v="0"/>
  </r>
  <r>
    <s v="HSBC100304"/>
    <s v="Vikram Chatterjee"/>
    <n v="41"/>
    <x v="7"/>
    <x v="1"/>
    <x v="2"/>
    <d v="2026-05-05T00:00:00"/>
    <x v="0"/>
    <n v="3115893"/>
    <n v="812"/>
    <x v="5"/>
    <x v="0"/>
    <n v="90"/>
    <n v="2542.1799999999998"/>
    <x v="0"/>
  </r>
  <r>
    <s v="HSBC100305"/>
    <s v="Nikhil Mehta"/>
    <n v="63"/>
    <x v="4"/>
    <x v="3"/>
    <x v="1"/>
    <d v="2026-01-21T00:00:00"/>
    <x v="1"/>
    <n v="2253369"/>
    <n v="834"/>
    <x v="4"/>
    <x v="1"/>
    <n v="31"/>
    <n v="1518.43"/>
    <x v="0"/>
  </r>
  <r>
    <s v="HSBC100306"/>
    <s v="Neha Sharma"/>
    <n v="38"/>
    <x v="7"/>
    <x v="1"/>
    <x v="1"/>
    <d v="2025-04-14T00:00:00"/>
    <x v="1"/>
    <n v="1500844"/>
    <n v="749"/>
    <x v="1"/>
    <x v="0"/>
    <n v="116"/>
    <n v="8031.92"/>
    <x v="0"/>
  </r>
  <r>
    <s v="HSBC100307"/>
    <s v="Ishita Singh"/>
    <n v="56"/>
    <x v="2"/>
    <x v="1"/>
    <x v="3"/>
    <d v="2026-01-28T00:00:00"/>
    <x v="2"/>
    <n v="1166094"/>
    <n v="753"/>
    <x v="0"/>
    <x v="4"/>
    <n v="39"/>
    <n v="1297.3800000000001"/>
    <x v="0"/>
  </r>
  <r>
    <s v="HSBC100308"/>
    <s v="Pooja Malhotra"/>
    <n v="55"/>
    <x v="11"/>
    <x v="0"/>
    <x v="1"/>
    <d v="2025-09-03T00:00:00"/>
    <x v="0"/>
    <n v="1336985"/>
    <n v="597"/>
    <x v="0"/>
    <x v="1"/>
    <n v="63"/>
    <n v="11655.65"/>
    <x v="0"/>
  </r>
  <r>
    <s v="HSBC100309"/>
    <s v="Kavya Malhotra"/>
    <n v="65"/>
    <x v="1"/>
    <x v="2"/>
    <x v="1"/>
    <d v="2025-06-25T00:00:00"/>
    <x v="3"/>
    <n v="496889"/>
    <n v="649"/>
    <x v="2"/>
    <x v="3"/>
    <n v="48"/>
    <n v="6480.59"/>
    <x v="0"/>
  </r>
  <r>
    <s v="HSBC100310"/>
    <s v="Varun Sharma"/>
    <n v="29"/>
    <x v="11"/>
    <x v="1"/>
    <x v="1"/>
    <d v="2025-02-08T00:00:00"/>
    <x v="1"/>
    <n v="1715088"/>
    <n v="695"/>
    <x v="6"/>
    <x v="4"/>
    <n v="87"/>
    <n v="68947.91"/>
    <x v="0"/>
  </r>
  <r>
    <s v="HSBC100311"/>
    <s v="Priya Mehta"/>
    <n v="58"/>
    <x v="4"/>
    <x v="0"/>
    <x v="1"/>
    <d v="2026-04-22T00:00:00"/>
    <x v="4"/>
    <n v="4434251"/>
    <n v="659"/>
    <x v="3"/>
    <x v="2"/>
    <n v="48"/>
    <n v="12839.55"/>
    <x v="0"/>
  </r>
  <r>
    <s v="HSBC100312"/>
    <s v="Amit Khan"/>
    <n v="50"/>
    <x v="3"/>
    <x v="0"/>
    <x v="1"/>
    <d v="2026-06-22T00:00:00"/>
    <x v="1"/>
    <n v="3362252"/>
    <n v="594"/>
    <x v="1"/>
    <x v="0"/>
    <n v="61"/>
    <n v="8684.66"/>
    <x v="0"/>
  </r>
  <r>
    <s v="HSBC100313"/>
    <s v="Aarav Das"/>
    <n v="64"/>
    <x v="2"/>
    <x v="1"/>
    <x v="0"/>
    <d v="2026-02-12T00:00:00"/>
    <x v="0"/>
    <n v="1993227"/>
    <n v="755"/>
    <x v="6"/>
    <x v="1"/>
    <n v="12"/>
    <n v="1640.94"/>
    <x v="0"/>
  </r>
  <r>
    <s v="HSBC100314"/>
    <s v="Aarav Sharma"/>
    <n v="54"/>
    <x v="4"/>
    <x v="1"/>
    <x v="1"/>
    <d v="2026-06-09T00:00:00"/>
    <x v="0"/>
    <n v="2621693"/>
    <n v="848"/>
    <x v="6"/>
    <x v="4"/>
    <n v="78"/>
    <n v="2379.3000000000002"/>
    <x v="0"/>
  </r>
  <r>
    <s v="HSBC100315"/>
    <s v="Neha Iyer"/>
    <n v="52"/>
    <x v="1"/>
    <x v="0"/>
    <x v="2"/>
    <d v="2026-05-21T00:00:00"/>
    <x v="1"/>
    <n v="4419647"/>
    <n v="698"/>
    <x v="0"/>
    <x v="4"/>
    <n v="56"/>
    <n v="18314.009999999998"/>
    <x v="0"/>
  </r>
  <r>
    <s v="HSBC100316"/>
    <s v="Aarav Iyer"/>
    <n v="23"/>
    <x v="8"/>
    <x v="1"/>
    <x v="1"/>
    <d v="2025-02-05T00:00:00"/>
    <x v="1"/>
    <n v="836470"/>
    <n v="767"/>
    <x v="2"/>
    <x v="1"/>
    <n v="18"/>
    <n v="6446.22"/>
    <x v="0"/>
  </r>
  <r>
    <s v="HSBC100317"/>
    <s v="Varun Banerjee"/>
    <n v="23"/>
    <x v="7"/>
    <x v="3"/>
    <x v="1"/>
    <d v="2025-01-20T00:00:00"/>
    <x v="1"/>
    <n v="4224409"/>
    <n v="636"/>
    <x v="5"/>
    <x v="2"/>
    <n v="27"/>
    <n v="128302.31"/>
    <x v="0"/>
  </r>
  <r>
    <s v="HSBC100318"/>
    <s v="Karan Das"/>
    <n v="48"/>
    <x v="11"/>
    <x v="2"/>
    <x v="3"/>
    <d v="2025-11-17T00:00:00"/>
    <x v="1"/>
    <n v="3555141"/>
    <n v="778"/>
    <x v="1"/>
    <x v="2"/>
    <n v="28"/>
    <n v="8207.44"/>
    <x v="2"/>
  </r>
  <r>
    <s v="HSBC100319"/>
    <s v="Rahul Patel"/>
    <n v="64"/>
    <x v="0"/>
    <x v="3"/>
    <x v="1"/>
    <d v="2026-05-27T00:00:00"/>
    <x v="4"/>
    <n v="427216"/>
    <n v="596"/>
    <x v="4"/>
    <x v="3"/>
    <n v="82"/>
    <n v="10693.25"/>
    <x v="0"/>
  </r>
  <r>
    <s v="HSBC100320"/>
    <s v="Pooja Banerjee"/>
    <n v="35"/>
    <x v="3"/>
    <x v="1"/>
    <x v="0"/>
    <d v="2026-02-04T00:00:00"/>
    <x v="1"/>
    <n v="2426512"/>
    <n v="634"/>
    <x v="5"/>
    <x v="2"/>
    <n v="80"/>
    <n v="2246.79"/>
    <x v="0"/>
  </r>
  <r>
    <s v="HSBC100321"/>
    <s v="Amit Verma"/>
    <n v="61"/>
    <x v="10"/>
    <x v="3"/>
    <x v="2"/>
    <d v="2026-04-16T00:00:00"/>
    <x v="1"/>
    <n v="3933460"/>
    <n v="848"/>
    <x v="7"/>
    <x v="3"/>
    <n v="52"/>
    <n v="24216.83"/>
    <x v="0"/>
  </r>
  <r>
    <s v="HSBC100322"/>
    <s v="Vivaan Banerjee"/>
    <n v="43"/>
    <x v="1"/>
    <x v="1"/>
    <x v="1"/>
    <d v="2025-05-23T00:00:00"/>
    <x v="1"/>
    <n v="2786015"/>
    <n v="666"/>
    <x v="7"/>
    <x v="4"/>
    <n v="16"/>
    <n v="3387.99"/>
    <x v="0"/>
  </r>
  <r>
    <s v="HSBC100323"/>
    <s v="Ishita Sharma"/>
    <n v="60"/>
    <x v="4"/>
    <x v="1"/>
    <x v="3"/>
    <d v="2025-04-02T00:00:00"/>
    <x v="0"/>
    <n v="373662"/>
    <n v="608"/>
    <x v="1"/>
    <x v="1"/>
    <n v="77"/>
    <n v="15531.61"/>
    <x v="0"/>
  </r>
  <r>
    <s v="HSBC100324"/>
    <s v="Vikram Chatterjee"/>
    <n v="31"/>
    <x v="7"/>
    <x v="1"/>
    <x v="1"/>
    <d v="2025-12-20T00:00:00"/>
    <x v="2"/>
    <n v="2068352"/>
    <n v="601"/>
    <x v="2"/>
    <x v="2"/>
    <n v="58"/>
    <n v="21002.21"/>
    <x v="0"/>
  </r>
  <r>
    <s v="HSBC100325"/>
    <s v="Aditya Chatterjee"/>
    <n v="68"/>
    <x v="0"/>
    <x v="1"/>
    <x v="0"/>
    <d v="2025-02-20T00:00:00"/>
    <x v="1"/>
    <n v="3494571"/>
    <n v="627"/>
    <x v="3"/>
    <x v="3"/>
    <n v="93"/>
    <n v="9896.66"/>
    <x v="0"/>
  </r>
  <r>
    <s v="HSBC100326"/>
    <s v="Rahul Singh"/>
    <n v="52"/>
    <x v="9"/>
    <x v="0"/>
    <x v="1"/>
    <d v="2026-07-29T00:00:00"/>
    <x v="1"/>
    <n v="3144558"/>
    <n v="584"/>
    <x v="7"/>
    <x v="4"/>
    <n v="9"/>
    <n v="56659.76"/>
    <x v="0"/>
  </r>
  <r>
    <s v="HSBC100327"/>
    <s v="Rahul Singh"/>
    <n v="56"/>
    <x v="6"/>
    <x v="1"/>
    <x v="0"/>
    <d v="2025-07-09T00:00:00"/>
    <x v="0"/>
    <n v="886438"/>
    <n v="829"/>
    <x v="0"/>
    <x v="2"/>
    <n v="26"/>
    <n v="4716.21"/>
    <x v="0"/>
  </r>
  <r>
    <s v="HSBC100328"/>
    <s v="Karan Verma"/>
    <n v="53"/>
    <x v="11"/>
    <x v="1"/>
    <x v="1"/>
    <d v="2025-05-05T00:00:00"/>
    <x v="3"/>
    <n v="1730175"/>
    <n v="742"/>
    <x v="3"/>
    <x v="0"/>
    <n v="28"/>
    <n v="52016.55"/>
    <x v="0"/>
  </r>
  <r>
    <s v="HSBC100329"/>
    <s v="Neha Das"/>
    <n v="44"/>
    <x v="6"/>
    <x v="0"/>
    <x v="2"/>
    <d v="2025-05-30T00:00:00"/>
    <x v="1"/>
    <n v="2079484"/>
    <n v="781"/>
    <x v="6"/>
    <x v="4"/>
    <n v="105"/>
    <n v="2357.85"/>
    <x v="0"/>
  </r>
  <r>
    <s v="HSBC100330"/>
    <s v="Ishita Mehta"/>
    <n v="59"/>
    <x v="1"/>
    <x v="1"/>
    <x v="0"/>
    <d v="2025-11-10T00:00:00"/>
    <x v="1"/>
    <n v="1917690"/>
    <n v="680"/>
    <x v="7"/>
    <x v="2"/>
    <n v="77"/>
    <n v="20722.59"/>
    <x v="0"/>
  </r>
  <r>
    <s v="HSBC100331"/>
    <s v="Vikram Das"/>
    <n v="54"/>
    <x v="9"/>
    <x v="0"/>
    <x v="3"/>
    <d v="2026-07-24T00:00:00"/>
    <x v="1"/>
    <n v="2219036"/>
    <n v="650"/>
    <x v="0"/>
    <x v="4"/>
    <n v="36"/>
    <n v="7711.48"/>
    <x v="0"/>
  </r>
  <r>
    <s v="HSBC100332"/>
    <s v="Varun Nair"/>
    <n v="48"/>
    <x v="9"/>
    <x v="1"/>
    <x v="3"/>
    <d v="2025-12-08T00:00:00"/>
    <x v="1"/>
    <n v="4161451"/>
    <n v="742"/>
    <x v="6"/>
    <x v="1"/>
    <n v="9"/>
    <n v="4257.6000000000004"/>
    <x v="0"/>
  </r>
  <r>
    <s v="HSBC100333"/>
    <s v="Kavya Chatterjee"/>
    <n v="57"/>
    <x v="9"/>
    <x v="2"/>
    <x v="0"/>
    <d v="2025-11-01T00:00:00"/>
    <x v="2"/>
    <n v="2996153"/>
    <n v="752"/>
    <x v="3"/>
    <x v="1"/>
    <n v="47"/>
    <n v="1565.03"/>
    <x v="1"/>
  </r>
  <r>
    <s v="HSBC100334"/>
    <s v="Karan Chatterjee"/>
    <n v="27"/>
    <x v="10"/>
    <x v="2"/>
    <x v="3"/>
    <d v="2025-02-23T00:00:00"/>
    <x v="3"/>
    <n v="1354188"/>
    <n v="720"/>
    <x v="1"/>
    <x v="1"/>
    <n v="78"/>
    <n v="6811.02"/>
    <x v="1"/>
  </r>
  <r>
    <s v="HSBC100335"/>
    <s v="Varun Malhotra"/>
    <n v="24"/>
    <x v="1"/>
    <x v="1"/>
    <x v="1"/>
    <d v="2026-03-20T00:00:00"/>
    <x v="1"/>
    <n v="3959726"/>
    <n v="717"/>
    <x v="6"/>
    <x v="0"/>
    <n v="51"/>
    <n v="6374.07"/>
    <x v="1"/>
  </r>
  <r>
    <s v="HSBC100336"/>
    <s v="Arjun Gupta"/>
    <n v="57"/>
    <x v="8"/>
    <x v="1"/>
    <x v="1"/>
    <d v="2025-09-21T00:00:00"/>
    <x v="3"/>
    <n v="4033112"/>
    <n v="645"/>
    <x v="5"/>
    <x v="1"/>
    <n v="76"/>
    <n v="10738.08"/>
    <x v="0"/>
  </r>
  <r>
    <s v="HSBC100337"/>
    <s v="Aditya Verma"/>
    <n v="21"/>
    <x v="6"/>
    <x v="1"/>
    <x v="1"/>
    <d v="2025-02-22T00:00:00"/>
    <x v="1"/>
    <n v="2556569"/>
    <n v="777"/>
    <x v="1"/>
    <x v="0"/>
    <n v="117"/>
    <n v="19169.12"/>
    <x v="0"/>
  </r>
  <r>
    <s v="HSBC100338"/>
    <s v="Neha Khan"/>
    <n v="21"/>
    <x v="8"/>
    <x v="2"/>
    <x v="1"/>
    <d v="2026-07-26T00:00:00"/>
    <x v="4"/>
    <n v="461463"/>
    <n v="807"/>
    <x v="1"/>
    <x v="1"/>
    <n v="57"/>
    <n v="3831.88"/>
    <x v="1"/>
  </r>
  <r>
    <s v="HSBC100339"/>
    <s v="Priya Nair"/>
    <n v="67"/>
    <x v="0"/>
    <x v="1"/>
    <x v="1"/>
    <d v="2025-01-05T00:00:00"/>
    <x v="4"/>
    <n v="1917788"/>
    <n v="751"/>
    <x v="3"/>
    <x v="4"/>
    <n v="32"/>
    <n v="56736.959999999999"/>
    <x v="0"/>
  </r>
  <r>
    <s v="HSBC100340"/>
    <s v="Ananya Das"/>
    <n v="40"/>
    <x v="5"/>
    <x v="1"/>
    <x v="2"/>
    <d v="2025-04-13T00:00:00"/>
    <x v="1"/>
    <n v="518602"/>
    <n v="619"/>
    <x v="3"/>
    <x v="2"/>
    <n v="102"/>
    <n v="5087.4799999999996"/>
    <x v="0"/>
  </r>
  <r>
    <s v="HSBC100341"/>
    <s v="Ishita Patel"/>
    <n v="39"/>
    <x v="3"/>
    <x v="1"/>
    <x v="1"/>
    <d v="2025-07-15T00:00:00"/>
    <x v="1"/>
    <n v="2644820"/>
    <n v="586"/>
    <x v="0"/>
    <x v="2"/>
    <n v="67"/>
    <n v="16853.330000000002"/>
    <x v="0"/>
  </r>
  <r>
    <s v="HSBC100342"/>
    <s v="Ishita Iyer"/>
    <n v="49"/>
    <x v="3"/>
    <x v="1"/>
    <x v="0"/>
    <d v="2025-12-16T00:00:00"/>
    <x v="2"/>
    <n v="912213"/>
    <n v="753"/>
    <x v="0"/>
    <x v="1"/>
    <n v="57"/>
    <n v="9844.57"/>
    <x v="0"/>
  </r>
  <r>
    <s v="HSBC100343"/>
    <s v="Sneha Mondal"/>
    <n v="30"/>
    <x v="8"/>
    <x v="1"/>
    <x v="1"/>
    <d v="2025-02-16T00:00:00"/>
    <x v="1"/>
    <n v="2441306"/>
    <n v="730"/>
    <x v="5"/>
    <x v="2"/>
    <n v="54"/>
    <n v="7268.86"/>
    <x v="0"/>
  </r>
  <r>
    <s v="HSBC100344"/>
    <s v="Nikhil Patel"/>
    <n v="38"/>
    <x v="5"/>
    <x v="2"/>
    <x v="1"/>
    <d v="2025-09-26T00:00:00"/>
    <x v="1"/>
    <n v="2923683"/>
    <n v="790"/>
    <x v="1"/>
    <x v="1"/>
    <n v="116"/>
    <n v="9339.99"/>
    <x v="0"/>
  </r>
  <r>
    <s v="HSBC100345"/>
    <s v="Pooja Roy"/>
    <n v="48"/>
    <x v="5"/>
    <x v="1"/>
    <x v="2"/>
    <d v="2026-01-05T00:00:00"/>
    <x v="2"/>
    <n v="4096703"/>
    <n v="665"/>
    <x v="4"/>
    <x v="1"/>
    <n v="16"/>
    <n v="3336.57"/>
    <x v="0"/>
  </r>
  <r>
    <s v="HSBC100346"/>
    <s v="Sneha Mehta"/>
    <n v="55"/>
    <x v="11"/>
    <x v="1"/>
    <x v="0"/>
    <d v="2025-04-16T00:00:00"/>
    <x v="0"/>
    <n v="2757720"/>
    <n v="832"/>
    <x v="2"/>
    <x v="3"/>
    <n v="62"/>
    <n v="5961.37"/>
    <x v="0"/>
  </r>
  <r>
    <s v="HSBC100347"/>
    <s v="Nikhil Khan"/>
    <n v="63"/>
    <x v="0"/>
    <x v="2"/>
    <x v="0"/>
    <d v="2025-04-30T00:00:00"/>
    <x v="1"/>
    <n v="3992849"/>
    <n v="600"/>
    <x v="5"/>
    <x v="3"/>
    <n v="84"/>
    <n v="2193.5100000000002"/>
    <x v="0"/>
  </r>
  <r>
    <s v="HSBC100348"/>
    <s v="Amit Gupta"/>
    <n v="67"/>
    <x v="1"/>
    <x v="2"/>
    <x v="2"/>
    <d v="2026-08-27T00:00:00"/>
    <x v="4"/>
    <n v="343476"/>
    <n v="836"/>
    <x v="5"/>
    <x v="3"/>
    <n v="96"/>
    <n v="5030.46"/>
    <x v="0"/>
  </r>
  <r>
    <s v="HSBC100349"/>
    <s v="Amit Mondal"/>
    <n v="51"/>
    <x v="5"/>
    <x v="1"/>
    <x v="1"/>
    <d v="2025-02-27T00:00:00"/>
    <x v="1"/>
    <n v="364560"/>
    <m/>
    <x v="2"/>
    <x v="0"/>
    <n v="56"/>
    <n v="5486.25"/>
    <x v="0"/>
  </r>
  <r>
    <s v="HSBC100350"/>
    <s v="Rohan Malhotra"/>
    <n v="47"/>
    <x v="4"/>
    <x v="1"/>
    <x v="2"/>
    <d v="2025-12-12T00:00:00"/>
    <x v="4"/>
    <n v="1599987"/>
    <n v="839"/>
    <x v="2"/>
    <x v="3"/>
    <n v="23"/>
    <n v="21752.47"/>
    <x v="2"/>
  </r>
  <r>
    <s v="HSBC100351"/>
    <s v="Neha Chatterjee"/>
    <n v="31"/>
    <x v="2"/>
    <x v="1"/>
    <x v="1"/>
    <d v="2026-04-19T00:00:00"/>
    <x v="2"/>
    <n v="3957957"/>
    <n v="813"/>
    <x v="2"/>
    <x v="1"/>
    <n v="17"/>
    <n v="6320.03"/>
    <x v="0"/>
  </r>
  <r>
    <s v="HSBC100352"/>
    <s v="Aditya Khan"/>
    <n v="69"/>
    <x v="3"/>
    <x v="3"/>
    <x v="1"/>
    <d v="2025-04-27T00:00:00"/>
    <x v="3"/>
    <n v="1119241"/>
    <n v="582"/>
    <x v="3"/>
    <x v="4"/>
    <n v="80"/>
    <n v="5594.36"/>
    <x v="0"/>
  </r>
  <r>
    <s v="HSBC100353"/>
    <s v="Priya Mondal"/>
    <n v="69"/>
    <x v="4"/>
    <x v="1"/>
    <x v="1"/>
    <d v="2025-05-07T00:00:00"/>
    <x v="1"/>
    <n v="799656"/>
    <n v="806"/>
    <x v="5"/>
    <x v="3"/>
    <n v="38"/>
    <n v="11282.88"/>
    <x v="0"/>
  </r>
  <r>
    <s v="HSBC100354"/>
    <s v="Aditya Iyer"/>
    <n v="58"/>
    <x v="0"/>
    <x v="3"/>
    <x v="1"/>
    <d v="2026-01-28T00:00:00"/>
    <x v="2"/>
    <n v="3688856"/>
    <n v="649"/>
    <x v="5"/>
    <x v="3"/>
    <n v="72"/>
    <n v="10828.05"/>
    <x v="0"/>
  </r>
  <r>
    <s v="HSBC100355"/>
    <s v="Kavya Sharma"/>
    <n v="25"/>
    <x v="5"/>
    <x v="0"/>
    <x v="1"/>
    <d v="2025-02-27T00:00:00"/>
    <x v="2"/>
    <n v="3830885"/>
    <n v="833"/>
    <x v="6"/>
    <x v="4"/>
    <n v="83"/>
    <n v="4814.6000000000004"/>
    <x v="0"/>
  </r>
  <r>
    <s v="HSBC100356"/>
    <s v="Karan Khan"/>
    <n v="28"/>
    <x v="6"/>
    <x v="0"/>
    <x v="3"/>
    <d v="2026-05-28T00:00:00"/>
    <x v="1"/>
    <n v="3653209"/>
    <n v="723"/>
    <x v="2"/>
    <x v="1"/>
    <n v="30"/>
    <n v="13547.26"/>
    <x v="0"/>
  </r>
  <r>
    <s v="HSBC100357"/>
    <s v="Sanjay Nair"/>
    <n v="54"/>
    <x v="3"/>
    <x v="1"/>
    <x v="3"/>
    <d v="2025-04-06T00:00:00"/>
    <x v="1"/>
    <n v="2347953"/>
    <n v="603"/>
    <x v="2"/>
    <x v="0"/>
    <n v="58"/>
    <n v="7423.61"/>
    <x v="0"/>
  </r>
  <r>
    <s v="HSBC100358"/>
    <s v="Varun Sen"/>
    <n v="68"/>
    <x v="11"/>
    <x v="1"/>
    <x v="1"/>
    <d v="2025-04-28T00:00:00"/>
    <x v="1"/>
    <n v="2977978"/>
    <n v="813"/>
    <x v="0"/>
    <x v="3"/>
    <n v="98"/>
    <n v="4806.3999999999996"/>
    <x v="0"/>
  </r>
  <r>
    <s v="HSBC100359"/>
    <s v="Arjun Khan"/>
    <n v="32"/>
    <x v="7"/>
    <x v="1"/>
    <x v="1"/>
    <d v="2026-07-14T00:00:00"/>
    <x v="1"/>
    <n v="3245785"/>
    <n v="754"/>
    <x v="0"/>
    <x v="4"/>
    <n v="78"/>
    <n v="5322.76"/>
    <x v="0"/>
  </r>
  <r>
    <s v="HSBC100360"/>
    <s v="Ishita Nair"/>
    <n v="58"/>
    <x v="11"/>
    <x v="1"/>
    <x v="1"/>
    <d v="2026-08-24T00:00:00"/>
    <x v="3"/>
    <n v="4230125"/>
    <n v="738"/>
    <x v="1"/>
    <x v="1"/>
    <n v="22"/>
    <n v="24265.68"/>
    <x v="0"/>
  </r>
  <r>
    <s v="HSBC100361"/>
    <s v="Varun Khan"/>
    <n v="21"/>
    <x v="2"/>
    <x v="0"/>
    <x v="1"/>
    <d v="2026-05-03T00:00:00"/>
    <x v="1"/>
    <n v="2076629"/>
    <n v="597"/>
    <x v="0"/>
    <x v="2"/>
    <n v="108"/>
    <n v="5493.39"/>
    <x v="0"/>
  </r>
  <r>
    <s v="HSBC100362"/>
    <s v="Amit Sharma"/>
    <n v="51"/>
    <x v="9"/>
    <x v="3"/>
    <x v="3"/>
    <d v="2025-08-25T00:00:00"/>
    <x v="1"/>
    <n v="2645265"/>
    <n v="623"/>
    <x v="7"/>
    <x v="0"/>
    <n v="17"/>
    <n v="11780.27"/>
    <x v="0"/>
  </r>
  <r>
    <s v="HSBC100363"/>
    <s v="Nikhil Malhotra"/>
    <n v="24"/>
    <x v="7"/>
    <x v="0"/>
    <x v="1"/>
    <d v="2025-09-29T00:00:00"/>
    <x v="4"/>
    <n v="341679"/>
    <n v="734"/>
    <x v="1"/>
    <x v="4"/>
    <n v="15"/>
    <n v="2329.66"/>
    <x v="0"/>
  </r>
  <r>
    <s v="HSBC100364"/>
    <s v="Neha Roy"/>
    <n v="69"/>
    <x v="10"/>
    <x v="2"/>
    <x v="0"/>
    <d v="2025-07-08T00:00:00"/>
    <x v="1"/>
    <n v="3028217"/>
    <n v="810"/>
    <x v="4"/>
    <x v="4"/>
    <n v="114"/>
    <n v="28884.78"/>
    <x v="0"/>
  </r>
  <r>
    <s v="HSBC100365"/>
    <s v="Vivaan Malhotra"/>
    <n v="65"/>
    <x v="5"/>
    <x v="1"/>
    <x v="1"/>
    <d v="2026-03-23T00:00:00"/>
    <x v="1"/>
    <n v="1589083"/>
    <n v="804"/>
    <x v="2"/>
    <x v="4"/>
    <n v="48"/>
    <n v="4855.4399999999996"/>
    <x v="0"/>
  </r>
  <r>
    <s v="HSBC100366"/>
    <s v="Arjun Das"/>
    <n v="70"/>
    <x v="0"/>
    <x v="1"/>
    <x v="3"/>
    <d v="2026-08-04T00:00:00"/>
    <x v="1"/>
    <n v="3274628"/>
    <n v="796"/>
    <x v="6"/>
    <x v="3"/>
    <n v="32"/>
    <n v="13633.75"/>
    <x v="0"/>
  </r>
  <r>
    <s v="HSBC100367"/>
    <s v="Kavya Das"/>
    <n v="25"/>
    <x v="3"/>
    <x v="1"/>
    <x v="1"/>
    <d v="2025-09-04T00:00:00"/>
    <x v="0"/>
    <n v="3953367"/>
    <n v="635"/>
    <x v="0"/>
    <x v="2"/>
    <n v="77"/>
    <n v="6876.42"/>
    <x v="0"/>
  </r>
  <r>
    <s v="HSBC100368"/>
    <s v="Arjun Gupta"/>
    <n v="50"/>
    <x v="10"/>
    <x v="0"/>
    <x v="0"/>
    <d v="2025-03-17T00:00:00"/>
    <x v="3"/>
    <n v="4140702"/>
    <n v="610"/>
    <x v="6"/>
    <x v="0"/>
    <n v="85"/>
    <n v="13470.75"/>
    <x v="0"/>
  </r>
  <r>
    <s v="HSBC100369"/>
    <s v="Karan Banerjee"/>
    <n v="44"/>
    <x v="0"/>
    <x v="3"/>
    <x v="1"/>
    <d v="2025-06-03T00:00:00"/>
    <x v="3"/>
    <n v="4238395"/>
    <n v="638"/>
    <x v="0"/>
    <x v="1"/>
    <n v="113"/>
    <n v="14265.68"/>
    <x v="0"/>
  </r>
  <r>
    <s v="HSBC100370"/>
    <s v="Nikhil Mondal"/>
    <n v="23"/>
    <x v="2"/>
    <x v="0"/>
    <x v="2"/>
    <d v="2026-03-11T00:00:00"/>
    <x v="1"/>
    <n v="2624151"/>
    <n v="814"/>
    <x v="0"/>
    <x v="1"/>
    <n v="40"/>
    <n v="7693.29"/>
    <x v="0"/>
  </r>
  <r>
    <s v="HSBC100371"/>
    <s v="Ishita Mondal"/>
    <n v="31"/>
    <x v="8"/>
    <x v="1"/>
    <x v="1"/>
    <d v="2025-03-27T00:00:00"/>
    <x v="4"/>
    <n v="427476"/>
    <n v="686"/>
    <x v="6"/>
    <x v="2"/>
    <n v="97"/>
    <n v="1262.3599999999999"/>
    <x v="1"/>
  </r>
  <r>
    <s v="HSBC100372"/>
    <s v="Sneha Das"/>
    <n v="65"/>
    <x v="5"/>
    <x v="1"/>
    <x v="1"/>
    <d v="2025-10-12T00:00:00"/>
    <x v="1"/>
    <n v="1449217"/>
    <n v="770"/>
    <x v="5"/>
    <x v="4"/>
    <n v="57"/>
    <n v="28157.41"/>
    <x v="1"/>
  </r>
  <r>
    <s v="HSBC100373"/>
    <s v="Vikram Sen"/>
    <n v="24"/>
    <x v="1"/>
    <x v="0"/>
    <x v="3"/>
    <d v="2025-08-08T00:00:00"/>
    <x v="1"/>
    <n v="2925877"/>
    <n v="597"/>
    <x v="5"/>
    <x v="4"/>
    <n v="58"/>
    <n v="7731.84"/>
    <x v="0"/>
  </r>
  <r>
    <s v="HSBC100374"/>
    <s v="Kavya Sharma"/>
    <n v="46"/>
    <x v="1"/>
    <x v="1"/>
    <x v="3"/>
    <d v="2025-03-10T00:00:00"/>
    <x v="1"/>
    <n v="2503962"/>
    <n v="805"/>
    <x v="5"/>
    <x v="4"/>
    <n v="91"/>
    <n v="13179.35"/>
    <x v="0"/>
  </r>
  <r>
    <s v="HSBC100375"/>
    <s v="Aditya Banerjee"/>
    <n v="47"/>
    <x v="5"/>
    <x v="2"/>
    <x v="3"/>
    <d v="2025-02-16T00:00:00"/>
    <x v="2"/>
    <n v="3199908"/>
    <n v="746"/>
    <x v="7"/>
    <x v="4"/>
    <n v="99"/>
    <n v="18514.41"/>
    <x v="0"/>
  </r>
  <r>
    <s v="HSBC100376"/>
    <s v="Vikram Roy"/>
    <n v="66"/>
    <x v="7"/>
    <x v="2"/>
    <x v="2"/>
    <d v="2025-04-04T00:00:00"/>
    <x v="1"/>
    <n v="4263880"/>
    <n v="650"/>
    <x v="5"/>
    <x v="4"/>
    <n v="16"/>
    <n v="5541.2"/>
    <x v="0"/>
  </r>
  <r>
    <s v="HSBC100377"/>
    <s v="Meera Nair"/>
    <n v="63"/>
    <x v="9"/>
    <x v="0"/>
    <x v="0"/>
    <d v="2026-03-29T00:00:00"/>
    <x v="1"/>
    <n v="2181441"/>
    <n v="633"/>
    <x v="0"/>
    <x v="2"/>
    <n v="28"/>
    <n v="15413.4"/>
    <x v="0"/>
  </r>
  <r>
    <s v="HSBC100378"/>
    <s v="Priya Khan"/>
    <n v="47"/>
    <x v="9"/>
    <x v="1"/>
    <x v="1"/>
    <d v="2025-07-23T00:00:00"/>
    <x v="1"/>
    <n v="515033"/>
    <n v="824"/>
    <x v="2"/>
    <x v="3"/>
    <n v="98"/>
    <n v="4084.76"/>
    <x v="0"/>
  </r>
  <r>
    <s v="HSBC100379"/>
    <s v="Pooja Nair"/>
    <n v="62"/>
    <x v="7"/>
    <x v="1"/>
    <x v="1"/>
    <d v="2025-08-06T00:00:00"/>
    <x v="1"/>
    <n v="3602477"/>
    <n v="655"/>
    <x v="3"/>
    <x v="0"/>
    <n v="111"/>
    <n v="13452.5"/>
    <x v="0"/>
  </r>
  <r>
    <s v="HSBC100380"/>
    <s v="Vivaan Patel"/>
    <n v="70"/>
    <x v="1"/>
    <x v="1"/>
    <x v="1"/>
    <d v="2026-04-19T00:00:00"/>
    <x v="4"/>
    <n v="4174845"/>
    <n v="614"/>
    <x v="6"/>
    <x v="4"/>
    <n v="1"/>
    <n v="9142.49"/>
    <x v="0"/>
  </r>
  <r>
    <s v="HSBC100381"/>
    <s v="Rohan Sen"/>
    <n v="26"/>
    <x v="6"/>
    <x v="1"/>
    <x v="2"/>
    <d v="2026-03-08T00:00:00"/>
    <x v="1"/>
    <n v="1385730"/>
    <n v="846"/>
    <x v="2"/>
    <x v="3"/>
    <n v="41"/>
    <n v="5746.69"/>
    <x v="0"/>
  </r>
  <r>
    <s v="HSBC100382"/>
    <s v="Rahul Iyer"/>
    <n v="35"/>
    <x v="7"/>
    <x v="1"/>
    <x v="1"/>
    <d v="2025-12-07T00:00:00"/>
    <x v="4"/>
    <n v="1406649"/>
    <n v="700"/>
    <x v="3"/>
    <x v="1"/>
    <n v="48"/>
    <n v="9408.25"/>
    <x v="0"/>
  </r>
  <r>
    <s v="HSBC100383"/>
    <s v="Neha Nair"/>
    <n v="50"/>
    <x v="3"/>
    <x v="0"/>
    <x v="1"/>
    <d v="2026-07-05T00:00:00"/>
    <x v="1"/>
    <n v="3952085"/>
    <n v="604"/>
    <x v="2"/>
    <x v="2"/>
    <n v="31"/>
    <n v="2957.34"/>
    <x v="0"/>
  </r>
  <r>
    <s v="HSBC100384"/>
    <s v="Kavya Nair"/>
    <n v="62"/>
    <x v="1"/>
    <x v="0"/>
    <x v="2"/>
    <d v="2025-10-16T00:00:00"/>
    <x v="4"/>
    <n v="1092329"/>
    <n v="739"/>
    <x v="7"/>
    <x v="3"/>
    <n v="36"/>
    <n v="12388.1"/>
    <x v="0"/>
  </r>
  <r>
    <s v="HSBC100385"/>
    <s v="Karan Singh"/>
    <n v="57"/>
    <x v="6"/>
    <x v="1"/>
    <x v="0"/>
    <d v="2025-09-11T00:00:00"/>
    <x v="2"/>
    <n v="1443582"/>
    <n v="663"/>
    <x v="3"/>
    <x v="4"/>
    <n v="108"/>
    <n v="13814.35"/>
    <x v="0"/>
  </r>
  <r>
    <s v="HSBC100386"/>
    <s v="Varun Das"/>
    <n v="57"/>
    <x v="2"/>
    <x v="1"/>
    <x v="1"/>
    <d v="2025-12-23T00:00:00"/>
    <x v="1"/>
    <n v="1138976"/>
    <n v="693"/>
    <x v="4"/>
    <x v="4"/>
    <n v="33"/>
    <n v="12873.45"/>
    <x v="0"/>
  </r>
  <r>
    <s v="HSBC100387"/>
    <s v="Karan Gupta"/>
    <n v="62"/>
    <x v="10"/>
    <x v="1"/>
    <x v="1"/>
    <d v="2025-01-23T00:00:00"/>
    <x v="1"/>
    <n v="1841570"/>
    <n v="802"/>
    <x v="1"/>
    <x v="4"/>
    <n v="33"/>
    <n v="43359.42"/>
    <x v="0"/>
  </r>
  <r>
    <s v="HSBC100388"/>
    <s v="Sanjay Chatterjee"/>
    <n v="57"/>
    <x v="6"/>
    <x v="1"/>
    <x v="1"/>
    <d v="2026-06-06T00:00:00"/>
    <x v="2"/>
    <n v="424588"/>
    <n v="745"/>
    <x v="5"/>
    <x v="3"/>
    <n v="103"/>
    <n v="8105.33"/>
    <x v="0"/>
  </r>
  <r>
    <s v="HSBC100389"/>
    <s v="Vivaan Mondal"/>
    <n v="55"/>
    <x v="10"/>
    <x v="2"/>
    <x v="1"/>
    <d v="2025-04-10T00:00:00"/>
    <x v="3"/>
    <n v="4023618"/>
    <n v="770"/>
    <x v="4"/>
    <x v="4"/>
    <n v="82"/>
    <n v="8713"/>
    <x v="0"/>
  </r>
  <r>
    <s v="HSBC100390"/>
    <s v="Rohan Sen"/>
    <n v="43"/>
    <x v="0"/>
    <x v="1"/>
    <x v="1"/>
    <d v="2025-06-29T00:00:00"/>
    <x v="1"/>
    <n v="3835854"/>
    <n v="754"/>
    <x v="7"/>
    <x v="3"/>
    <n v="23"/>
    <n v="2620.75"/>
    <x v="1"/>
  </r>
  <r>
    <s v="HSBC100391"/>
    <s v="Aarav Mehta"/>
    <n v="26"/>
    <x v="4"/>
    <x v="1"/>
    <x v="2"/>
    <d v="2025-08-11T00:00:00"/>
    <x v="1"/>
    <n v="1780332"/>
    <n v="580"/>
    <x v="2"/>
    <x v="4"/>
    <n v="60"/>
    <n v="46681.02"/>
    <x v="2"/>
  </r>
  <r>
    <s v="HSBC100392"/>
    <s v="Ishita Mehta"/>
    <n v="24"/>
    <x v="0"/>
    <x v="1"/>
    <x v="2"/>
    <d v="2026-03-18T00:00:00"/>
    <x v="3"/>
    <n v="1283290"/>
    <n v="808"/>
    <x v="0"/>
    <x v="1"/>
    <n v="87"/>
    <n v="1857.43"/>
    <x v="0"/>
  </r>
  <r>
    <s v="HSBC100393"/>
    <s v="Arjun Iyer"/>
    <n v="38"/>
    <x v="1"/>
    <x v="2"/>
    <x v="0"/>
    <d v="2026-08-31T00:00:00"/>
    <x v="2"/>
    <n v="3696549"/>
    <n v="665"/>
    <x v="5"/>
    <x v="1"/>
    <n v="79"/>
    <n v="11384.31"/>
    <x v="0"/>
  </r>
  <r>
    <s v="HSBC100394"/>
    <s v="Kavya Verma"/>
    <n v="29"/>
    <x v="10"/>
    <x v="0"/>
    <x v="1"/>
    <d v="2025-11-21T00:00:00"/>
    <x v="1"/>
    <n v="3408546"/>
    <n v="641"/>
    <x v="4"/>
    <x v="0"/>
    <n v="90"/>
    <n v="4696.0600000000004"/>
    <x v="0"/>
  </r>
  <r>
    <s v="HSBC100395"/>
    <s v="Ananya Banerjee"/>
    <n v="69"/>
    <x v="1"/>
    <x v="1"/>
    <x v="0"/>
    <d v="2026-05-31T00:00:00"/>
    <x v="1"/>
    <n v="731438"/>
    <n v="785"/>
    <x v="5"/>
    <x v="4"/>
    <n v="30"/>
    <n v="9560.86"/>
    <x v="0"/>
  </r>
  <r>
    <s v="HSBC100396"/>
    <s v="Aditya Gupta"/>
    <n v="49"/>
    <x v="7"/>
    <x v="1"/>
    <x v="1"/>
    <d v="2025-01-16T00:00:00"/>
    <x v="1"/>
    <n v="2955430"/>
    <n v="684"/>
    <x v="3"/>
    <x v="4"/>
    <n v="89"/>
    <n v="2267.7399999999998"/>
    <x v="0"/>
  </r>
  <r>
    <s v="HSBC100397"/>
    <s v="Pooja Malhotra"/>
    <n v="33"/>
    <x v="5"/>
    <x v="2"/>
    <x v="1"/>
    <d v="2025-12-02T00:00:00"/>
    <x v="2"/>
    <n v="1508542"/>
    <n v="829"/>
    <x v="1"/>
    <x v="3"/>
    <n v="45"/>
    <n v="22839.5"/>
    <x v="0"/>
  </r>
  <r>
    <s v="HSBC100398"/>
    <s v="Priya Iyer"/>
    <n v="67"/>
    <x v="3"/>
    <x v="3"/>
    <x v="0"/>
    <d v="2025-09-15T00:00:00"/>
    <x v="1"/>
    <n v="1370780"/>
    <n v="592"/>
    <x v="5"/>
    <x v="3"/>
    <n v="80"/>
    <n v="3284.8"/>
    <x v="0"/>
  </r>
  <r>
    <s v="HSBC100399"/>
    <s v="Priya Khan"/>
    <n v="37"/>
    <x v="11"/>
    <x v="1"/>
    <x v="1"/>
    <d v="2026-05-12T00:00:00"/>
    <x v="0"/>
    <n v="2392936"/>
    <n v="742"/>
    <x v="2"/>
    <x v="5"/>
    <n v="39"/>
    <n v="30472.07"/>
    <x v="0"/>
  </r>
  <r>
    <s v="HSBC100400"/>
    <s v="Neha Sharma"/>
    <n v="65"/>
    <x v="1"/>
    <x v="2"/>
    <x v="1"/>
    <d v="2025-06-09T00:00:00"/>
    <x v="1"/>
    <n v="4322091"/>
    <n v="622"/>
    <x v="2"/>
    <x v="0"/>
    <n v="112"/>
    <n v="3381.28"/>
    <x v="0"/>
  </r>
  <r>
    <s v="HSBC100401"/>
    <s v="Rohan Roy"/>
    <n v="52"/>
    <x v="3"/>
    <x v="3"/>
    <x v="3"/>
    <d v="2026-04-20T00:00:00"/>
    <x v="1"/>
    <n v="1554140"/>
    <n v="690"/>
    <x v="6"/>
    <x v="4"/>
    <n v="45"/>
    <n v="24933.64"/>
    <x v="0"/>
  </r>
  <r>
    <s v="HSBC100402"/>
    <s v="Vikram Chatterjee"/>
    <n v="68"/>
    <x v="7"/>
    <x v="2"/>
    <x v="1"/>
    <d v="2026-01-15T00:00:00"/>
    <x v="2"/>
    <n v="4043868"/>
    <n v="784"/>
    <x v="6"/>
    <x v="3"/>
    <n v="78"/>
    <n v="3742.42"/>
    <x v="0"/>
  </r>
  <r>
    <s v="HSBC100403"/>
    <s v="Ishita Sharma"/>
    <n v="42"/>
    <x v="6"/>
    <x v="0"/>
    <x v="0"/>
    <d v="2026-06-29T00:00:00"/>
    <x v="3"/>
    <n v="2038702"/>
    <n v="835"/>
    <x v="5"/>
    <x v="4"/>
    <n v="81"/>
    <n v="4696.91"/>
    <x v="0"/>
  </r>
  <r>
    <s v="HSBC100404"/>
    <s v="Varun Khan"/>
    <n v="24"/>
    <x v="7"/>
    <x v="0"/>
    <x v="1"/>
    <d v="2026-03-03T00:00:00"/>
    <x v="4"/>
    <n v="3946724"/>
    <n v="723"/>
    <x v="3"/>
    <x v="3"/>
    <n v="12"/>
    <n v="8937.9500000000007"/>
    <x v="0"/>
  </r>
  <r>
    <s v="HSBC100405"/>
    <s v="Ananya Sen"/>
    <n v="25"/>
    <x v="2"/>
    <x v="1"/>
    <x v="0"/>
    <d v="2025-09-25T00:00:00"/>
    <x v="1"/>
    <n v="1841711"/>
    <n v="725"/>
    <x v="3"/>
    <x v="4"/>
    <n v="93"/>
    <n v="3676.35"/>
    <x v="0"/>
  </r>
  <r>
    <s v="HSBC100406"/>
    <s v="Kavya Sen"/>
    <n v="57"/>
    <x v="0"/>
    <x v="2"/>
    <x v="1"/>
    <d v="2026-07-31T00:00:00"/>
    <x v="4"/>
    <n v="1878853"/>
    <n v="743"/>
    <x v="0"/>
    <x v="2"/>
    <n v="32"/>
    <n v="3564.42"/>
    <x v="0"/>
  </r>
  <r>
    <s v="HSBC100407"/>
    <s v="Ishita Sen"/>
    <n v="61"/>
    <x v="6"/>
    <x v="0"/>
    <x v="1"/>
    <d v="2026-02-21T00:00:00"/>
    <x v="2"/>
    <n v="2308721"/>
    <n v="748"/>
    <x v="7"/>
    <x v="3"/>
    <n v="56"/>
    <n v="3721.35"/>
    <x v="0"/>
  </r>
  <r>
    <s v="HSBC100408"/>
    <s v="Sanjay Sharma"/>
    <n v="69"/>
    <x v="11"/>
    <x v="0"/>
    <x v="2"/>
    <d v="2025-06-17T00:00:00"/>
    <x v="1"/>
    <n v="2210391"/>
    <n v="812"/>
    <x v="7"/>
    <x v="0"/>
    <n v="24"/>
    <n v="12516.44"/>
    <x v="0"/>
  </r>
  <r>
    <s v="HSBC100409"/>
    <s v="Ishita Mehta"/>
    <n v="33"/>
    <x v="10"/>
    <x v="1"/>
    <x v="1"/>
    <d v="2025-02-12T00:00:00"/>
    <x v="1"/>
    <n v="4326773"/>
    <n v="850"/>
    <x v="4"/>
    <x v="2"/>
    <n v="116"/>
    <n v="8951.07"/>
    <x v="0"/>
  </r>
  <r>
    <s v="HSBC100410"/>
    <s v="Kavya Verma"/>
    <n v="54"/>
    <x v="5"/>
    <x v="2"/>
    <x v="1"/>
    <d v="2026-07-10T00:00:00"/>
    <x v="1"/>
    <n v="2370100"/>
    <n v="639"/>
    <x v="7"/>
    <x v="4"/>
    <n v="13"/>
    <n v="9464.1200000000008"/>
    <x v="0"/>
  </r>
  <r>
    <s v="HSBC100411"/>
    <s v="Rahul Khan"/>
    <n v="65"/>
    <x v="3"/>
    <x v="2"/>
    <x v="1"/>
    <d v="2025-10-12T00:00:00"/>
    <x v="1"/>
    <n v="309072"/>
    <n v="814"/>
    <x v="1"/>
    <x v="3"/>
    <n v="120"/>
    <n v="6368.6"/>
    <x v="0"/>
  </r>
  <r>
    <s v="HSBC100412"/>
    <s v="Varun Das"/>
    <n v="42"/>
    <x v="5"/>
    <x v="1"/>
    <x v="1"/>
    <d v="2026-02-01T00:00:00"/>
    <x v="3"/>
    <n v="3725432"/>
    <n v="744"/>
    <x v="3"/>
    <x v="2"/>
    <n v="20"/>
    <n v="15932.8"/>
    <x v="0"/>
  </r>
  <r>
    <s v="HSBC100413"/>
    <s v="Pooja Das"/>
    <n v="43"/>
    <x v="4"/>
    <x v="2"/>
    <x v="1"/>
    <d v="2025-01-12T00:00:00"/>
    <x v="1"/>
    <n v="4133337"/>
    <n v="773"/>
    <x v="0"/>
    <x v="0"/>
    <n v="79"/>
    <n v="26972.17"/>
    <x v="0"/>
  </r>
  <r>
    <s v="HSBC100414"/>
    <s v="Neha Verma"/>
    <n v="23"/>
    <x v="7"/>
    <x v="0"/>
    <x v="1"/>
    <d v="2026-08-30T00:00:00"/>
    <x v="0"/>
    <n v="2413843"/>
    <n v="813"/>
    <x v="6"/>
    <x v="3"/>
    <n v="56"/>
    <n v="16389.53"/>
    <x v="0"/>
  </r>
  <r>
    <s v="HSBC100415"/>
    <s v="Rohan Roy"/>
    <n v="62"/>
    <x v="1"/>
    <x v="2"/>
    <x v="3"/>
    <d v="2025-10-29T00:00:00"/>
    <x v="2"/>
    <n v="3012594"/>
    <n v="762"/>
    <x v="2"/>
    <x v="2"/>
    <n v="53"/>
    <n v="7190.96"/>
    <x v="0"/>
  </r>
  <r>
    <s v="HSBC100416"/>
    <s v="Aarav Patel"/>
    <n v="54"/>
    <x v="10"/>
    <x v="1"/>
    <x v="1"/>
    <d v="2025-09-10T00:00:00"/>
    <x v="2"/>
    <n v="4284941"/>
    <n v="811"/>
    <x v="7"/>
    <x v="2"/>
    <n v="68"/>
    <n v="2485.37"/>
    <x v="0"/>
  </r>
  <r>
    <s v="HSBC100417"/>
    <s v="Aditya Gupta"/>
    <n v="52"/>
    <x v="4"/>
    <x v="1"/>
    <x v="2"/>
    <d v="2026-05-14T00:00:00"/>
    <x v="2"/>
    <n v="4451390"/>
    <n v="686"/>
    <x v="6"/>
    <x v="2"/>
    <n v="54"/>
    <n v="1123.3399999999999"/>
    <x v="0"/>
  </r>
  <r>
    <s v="HSBC100418"/>
    <s v="Rohan Sen"/>
    <n v="65"/>
    <x v="7"/>
    <x v="2"/>
    <x v="1"/>
    <d v="2025-02-04T00:00:00"/>
    <x v="1"/>
    <n v="639962"/>
    <n v="802"/>
    <x v="6"/>
    <x v="1"/>
    <n v="34"/>
    <n v="8365.67"/>
    <x v="0"/>
  </r>
  <r>
    <s v="HSBC100419"/>
    <s v="Rohan Sharma"/>
    <n v="69"/>
    <x v="8"/>
    <x v="1"/>
    <x v="1"/>
    <d v="2025-03-31T00:00:00"/>
    <x v="1"/>
    <n v="3727899"/>
    <n v="659"/>
    <x v="5"/>
    <x v="4"/>
    <n v="28"/>
    <n v="1104.5"/>
    <x v="0"/>
  </r>
  <r>
    <s v="HSBC100420"/>
    <s v="Sanjay Mondal"/>
    <n v="41"/>
    <x v="1"/>
    <x v="2"/>
    <x v="3"/>
    <d v="2026-08-28T00:00:00"/>
    <x v="1"/>
    <n v="3673788"/>
    <n v="813"/>
    <x v="1"/>
    <x v="3"/>
    <n v="50"/>
    <n v="7264.32"/>
    <x v="0"/>
  </r>
  <r>
    <s v="HSBC100421"/>
    <s v="Pooja Khan"/>
    <n v="66"/>
    <x v="6"/>
    <x v="1"/>
    <x v="1"/>
    <d v="2026-08-25T00:00:00"/>
    <x v="2"/>
    <n v="1051680"/>
    <n v="763"/>
    <x v="0"/>
    <x v="3"/>
    <n v="2"/>
    <n v="39056.1"/>
    <x v="0"/>
  </r>
  <r>
    <s v="HSBC100422"/>
    <s v="Priya Roy"/>
    <n v="64"/>
    <x v="0"/>
    <x v="1"/>
    <x v="3"/>
    <d v="2026-02-22T00:00:00"/>
    <x v="1"/>
    <n v="4381279"/>
    <n v="764"/>
    <x v="1"/>
    <x v="3"/>
    <n v="111"/>
    <n v="2667.39"/>
    <x v="0"/>
  </r>
  <r>
    <s v="HSBC100423"/>
    <s v="Amit Mehta"/>
    <n v="41"/>
    <x v="3"/>
    <x v="1"/>
    <x v="1"/>
    <d v="2025-04-25T00:00:00"/>
    <x v="4"/>
    <n v="2109234"/>
    <n v="713"/>
    <x v="5"/>
    <x v="2"/>
    <n v="94"/>
    <n v="2320.62"/>
    <x v="0"/>
  </r>
  <r>
    <s v="HSBC100424"/>
    <s v="Ananya Nair"/>
    <n v="64"/>
    <x v="2"/>
    <x v="0"/>
    <x v="0"/>
    <d v="2025-07-15T00:00:00"/>
    <x v="1"/>
    <n v="1192529"/>
    <n v="799"/>
    <x v="0"/>
    <x v="4"/>
    <n v="26"/>
    <n v="17479.45"/>
    <x v="0"/>
  </r>
  <r>
    <s v="HSBC100425"/>
    <s v="Vivaan Singh"/>
    <n v="31"/>
    <x v="11"/>
    <x v="1"/>
    <x v="2"/>
    <d v="2026-05-16T00:00:00"/>
    <x v="1"/>
    <n v="4190008"/>
    <n v="781"/>
    <x v="0"/>
    <x v="0"/>
    <n v="51"/>
    <n v="500"/>
    <x v="0"/>
  </r>
  <r>
    <s v="HSBC100426"/>
    <s v="Amit Iyer"/>
    <n v="59"/>
    <x v="11"/>
    <x v="1"/>
    <x v="3"/>
    <d v="2026-05-08T00:00:00"/>
    <x v="1"/>
    <n v="1837138"/>
    <n v="725"/>
    <x v="3"/>
    <x v="3"/>
    <n v="47"/>
    <n v="13371.74"/>
    <x v="0"/>
  </r>
  <r>
    <s v="HSBC100427"/>
    <s v="Karan Verma"/>
    <n v="24"/>
    <x v="6"/>
    <x v="1"/>
    <x v="2"/>
    <d v="2025-03-16T00:00:00"/>
    <x v="3"/>
    <n v="2336172"/>
    <n v="706"/>
    <x v="1"/>
    <x v="4"/>
    <n v="26"/>
    <n v="41853.67"/>
    <x v="0"/>
  </r>
  <r>
    <s v="HSBC100428"/>
    <s v="Kavya Chatterjee"/>
    <n v="21"/>
    <x v="9"/>
    <x v="1"/>
    <x v="2"/>
    <d v="2026-02-17T00:00:00"/>
    <x v="4"/>
    <n v="1615265"/>
    <n v="714"/>
    <x v="1"/>
    <x v="4"/>
    <n v="84"/>
    <n v="3582.77"/>
    <x v="0"/>
  </r>
  <r>
    <s v="HSBC100429"/>
    <s v="Amit Patel"/>
    <n v="48"/>
    <x v="11"/>
    <x v="3"/>
    <x v="1"/>
    <d v="2026-01-11T00:00:00"/>
    <x v="1"/>
    <n v="4180131"/>
    <n v="693"/>
    <x v="3"/>
    <x v="1"/>
    <n v="106"/>
    <n v="2991.55"/>
    <x v="0"/>
  </r>
  <r>
    <s v="HSBC100430"/>
    <s v="Ishita Gupta"/>
    <n v="44"/>
    <x v="3"/>
    <x v="3"/>
    <x v="1"/>
    <d v="2026-02-24T00:00:00"/>
    <x v="1"/>
    <n v="3492222"/>
    <n v="843"/>
    <x v="4"/>
    <x v="3"/>
    <n v="92"/>
    <n v="16639.330000000002"/>
    <x v="0"/>
  </r>
  <r>
    <s v="HSBC100431"/>
    <s v="Varun Patel"/>
    <n v="55"/>
    <x v="6"/>
    <x v="1"/>
    <x v="3"/>
    <d v="2025-10-04T00:00:00"/>
    <x v="5"/>
    <n v="365981"/>
    <n v="643"/>
    <x v="6"/>
    <x v="2"/>
    <n v="120"/>
    <n v="2619.4499999999998"/>
    <x v="0"/>
  </r>
  <r>
    <s v="HSBC100432"/>
    <s v="Sneha Roy"/>
    <n v="33"/>
    <x v="10"/>
    <x v="2"/>
    <x v="1"/>
    <d v="2026-01-29T00:00:00"/>
    <x v="0"/>
    <n v="4460608"/>
    <n v="714"/>
    <x v="5"/>
    <x v="4"/>
    <n v="84"/>
    <n v="20980.73"/>
    <x v="0"/>
  </r>
  <r>
    <s v="HSBC100433"/>
    <s v="Meera Das"/>
    <n v="67"/>
    <x v="11"/>
    <x v="1"/>
    <x v="1"/>
    <d v="2026-04-02T00:00:00"/>
    <x v="2"/>
    <n v="1572014"/>
    <n v="620"/>
    <x v="1"/>
    <x v="4"/>
    <n v="75"/>
    <n v="2853.28"/>
    <x v="0"/>
  </r>
  <r>
    <s v="HSBC100434"/>
    <s v="Priya Khan"/>
    <n v="54"/>
    <x v="5"/>
    <x v="0"/>
    <x v="0"/>
    <d v="2025-07-11T00:00:00"/>
    <x v="1"/>
    <n v="538569"/>
    <n v="582"/>
    <x v="3"/>
    <x v="0"/>
    <n v="74"/>
    <n v="57343.94"/>
    <x v="0"/>
  </r>
  <r>
    <s v="HSBC100435"/>
    <s v="Vikram Das"/>
    <n v="31"/>
    <x v="6"/>
    <x v="2"/>
    <x v="1"/>
    <d v="2025-04-09T00:00:00"/>
    <x v="2"/>
    <n v="974071"/>
    <n v="773"/>
    <x v="2"/>
    <x v="1"/>
    <n v="61"/>
    <n v="17951.36"/>
    <x v="0"/>
  </r>
  <r>
    <s v="HSBC100436"/>
    <s v="Aarav Patel"/>
    <n v="56"/>
    <x v="3"/>
    <x v="3"/>
    <x v="3"/>
    <d v="2026-07-02T00:00:00"/>
    <x v="1"/>
    <n v="3506505"/>
    <n v="689"/>
    <x v="4"/>
    <x v="4"/>
    <n v="23"/>
    <n v="9320.26"/>
    <x v="0"/>
  </r>
  <r>
    <s v="HSBC100437"/>
    <s v="Vikram Iyer"/>
    <n v="37"/>
    <x v="5"/>
    <x v="1"/>
    <x v="0"/>
    <d v="2025-04-06T00:00:00"/>
    <x v="0"/>
    <n v="652641"/>
    <n v="800"/>
    <x v="0"/>
    <x v="4"/>
    <n v="37"/>
    <n v="53975.89"/>
    <x v="0"/>
  </r>
  <r>
    <s v="HSBC100438"/>
    <s v="Rahul Sen"/>
    <n v="55"/>
    <x v="1"/>
    <x v="2"/>
    <x v="2"/>
    <d v="2025-07-09T00:00:00"/>
    <x v="1"/>
    <n v="4026764"/>
    <n v="583"/>
    <x v="7"/>
    <x v="2"/>
    <n v="41"/>
    <n v="26452.9"/>
    <x v="0"/>
  </r>
  <r>
    <s v="HSBC100439"/>
    <s v="Kavya Gupta"/>
    <n v="38"/>
    <x v="1"/>
    <x v="1"/>
    <x v="3"/>
    <d v="2025-02-06T00:00:00"/>
    <x v="2"/>
    <n v="1765538"/>
    <n v="823"/>
    <x v="2"/>
    <x v="2"/>
    <n v="52"/>
    <n v="13187.8"/>
    <x v="0"/>
  </r>
  <r>
    <s v="HSBC100440"/>
    <s v="Kavya Das"/>
    <n v="60"/>
    <x v="11"/>
    <x v="3"/>
    <x v="1"/>
    <d v="2026-01-04T00:00:00"/>
    <x v="1"/>
    <n v="3149675"/>
    <n v="745"/>
    <x v="3"/>
    <x v="0"/>
    <n v="83"/>
    <n v="1266"/>
    <x v="0"/>
  </r>
  <r>
    <s v="HSBC100441"/>
    <s v="Aarav Patel"/>
    <n v="42"/>
    <x v="5"/>
    <x v="1"/>
    <x v="1"/>
    <d v="2026-06-09T00:00:00"/>
    <x v="4"/>
    <n v="3649902"/>
    <n v="605"/>
    <x v="7"/>
    <x v="0"/>
    <n v="109"/>
    <n v="4287.38"/>
    <x v="0"/>
  </r>
  <r>
    <s v="HSBC100442"/>
    <s v="Ananya Banerjee"/>
    <n v="44"/>
    <x v="0"/>
    <x v="0"/>
    <x v="1"/>
    <d v="2025-10-06T00:00:00"/>
    <x v="4"/>
    <n v="3649618"/>
    <n v="596"/>
    <x v="6"/>
    <x v="0"/>
    <n v="82"/>
    <n v="27992.17"/>
    <x v="0"/>
  </r>
  <r>
    <s v="HSBC100443"/>
    <s v="Amit Das"/>
    <n v="39"/>
    <x v="7"/>
    <x v="0"/>
    <x v="1"/>
    <d v="2025-08-05T00:00:00"/>
    <x v="2"/>
    <n v="3654629"/>
    <n v="795"/>
    <x v="5"/>
    <x v="2"/>
    <n v="49"/>
    <n v="2286.71"/>
    <x v="0"/>
  </r>
  <r>
    <s v="HSBC100444"/>
    <s v="Sanjay Banerjee"/>
    <n v="57"/>
    <x v="1"/>
    <x v="0"/>
    <x v="0"/>
    <d v="2025-09-30T00:00:00"/>
    <x v="2"/>
    <n v="2442848"/>
    <n v="671"/>
    <x v="7"/>
    <x v="2"/>
    <n v="27"/>
    <n v="4007.77"/>
    <x v="0"/>
  </r>
  <r>
    <s v="HSBC100445"/>
    <s v="Vikram Verma"/>
    <n v="59"/>
    <x v="0"/>
    <x v="1"/>
    <x v="3"/>
    <d v="2025-03-03T00:00:00"/>
    <x v="3"/>
    <n v="3023219"/>
    <n v="610"/>
    <x v="4"/>
    <x v="1"/>
    <n v="6"/>
    <n v="3061.92"/>
    <x v="0"/>
  </r>
  <r>
    <s v="HSBC100446"/>
    <s v="Vikram Sharma"/>
    <n v="41"/>
    <x v="10"/>
    <x v="3"/>
    <x v="1"/>
    <d v="2026-08-19T00:00:00"/>
    <x v="1"/>
    <n v="1894173"/>
    <n v="784"/>
    <x v="6"/>
    <x v="3"/>
    <n v="74"/>
    <n v="13663.38"/>
    <x v="0"/>
  </r>
  <r>
    <s v="HSBC100447"/>
    <s v="Ishita Chatterjee"/>
    <n v="28"/>
    <x v="6"/>
    <x v="1"/>
    <x v="1"/>
    <d v="2025-12-08T00:00:00"/>
    <x v="1"/>
    <n v="1219224"/>
    <n v="786"/>
    <x v="7"/>
    <x v="3"/>
    <n v="66"/>
    <n v="24631.77"/>
    <x v="0"/>
  </r>
  <r>
    <s v="HSBC100448"/>
    <s v="Vikram Singh"/>
    <n v="48"/>
    <x v="7"/>
    <x v="0"/>
    <x v="3"/>
    <d v="2026-02-01T00:00:00"/>
    <x v="1"/>
    <n v="3017549"/>
    <n v="686"/>
    <x v="0"/>
    <x v="1"/>
    <n v="24"/>
    <n v="24657.31"/>
    <x v="0"/>
  </r>
  <r>
    <s v="HSBC100449"/>
    <s v="Pooja Roy"/>
    <n v="25"/>
    <x v="4"/>
    <x v="1"/>
    <x v="1"/>
    <d v="2025-01-19T00:00:00"/>
    <x v="0"/>
    <n v="486436"/>
    <n v="725"/>
    <x v="0"/>
    <x v="3"/>
    <n v="38"/>
    <n v="3657.52"/>
    <x v="0"/>
  </r>
  <r>
    <s v="HSBC100450"/>
    <s v="Aarav Sharma"/>
    <n v="37"/>
    <x v="3"/>
    <x v="1"/>
    <x v="2"/>
    <d v="2025-06-26T00:00:00"/>
    <x v="1"/>
    <n v="2464178"/>
    <n v="680"/>
    <x v="4"/>
    <x v="2"/>
    <n v="28"/>
    <n v="13468.26"/>
    <x v="0"/>
  </r>
  <r>
    <s v="HSBC100451"/>
    <s v="Nikhil Verma"/>
    <n v="57"/>
    <x v="2"/>
    <x v="0"/>
    <x v="1"/>
    <d v="2026-01-31T00:00:00"/>
    <x v="4"/>
    <n v="324804"/>
    <n v="820"/>
    <x v="0"/>
    <x v="3"/>
    <n v="28"/>
    <n v="3481.17"/>
    <x v="0"/>
  </r>
  <r>
    <s v="HSBC100452"/>
    <s v="Meera Nair"/>
    <n v="56"/>
    <x v="6"/>
    <x v="1"/>
    <x v="3"/>
    <d v="2026-03-21T00:00:00"/>
    <x v="2"/>
    <n v="3907390"/>
    <n v="826"/>
    <x v="0"/>
    <x v="2"/>
    <n v="117"/>
    <n v="7179.06"/>
    <x v="0"/>
  </r>
  <r>
    <s v="HSBC100453"/>
    <s v="Meera Sen"/>
    <n v="39"/>
    <x v="7"/>
    <x v="1"/>
    <x v="2"/>
    <d v="2025-08-21T00:00:00"/>
    <x v="1"/>
    <n v="3226877"/>
    <n v="742"/>
    <x v="3"/>
    <x v="1"/>
    <n v="109"/>
    <n v="15462.55"/>
    <x v="0"/>
  </r>
  <r>
    <s v="HSBC100454"/>
    <s v="Neha Banerjee"/>
    <n v="47"/>
    <x v="3"/>
    <x v="1"/>
    <x v="0"/>
    <d v="2025-03-17T00:00:00"/>
    <x v="1"/>
    <n v="4039514"/>
    <n v="752"/>
    <x v="0"/>
    <x v="0"/>
    <n v="114"/>
    <n v="27294.6"/>
    <x v="0"/>
  </r>
  <r>
    <s v="HSBC100455"/>
    <s v="Vivaan Das"/>
    <n v="54"/>
    <x v="7"/>
    <x v="1"/>
    <x v="0"/>
    <d v="2025-09-22T00:00:00"/>
    <x v="1"/>
    <n v="2222871"/>
    <n v="614"/>
    <x v="2"/>
    <x v="1"/>
    <n v="103"/>
    <n v="937.42"/>
    <x v="0"/>
  </r>
  <r>
    <s v="HSBC100456"/>
    <s v="Rahul Verma"/>
    <n v="31"/>
    <x v="5"/>
    <x v="2"/>
    <x v="1"/>
    <d v="2026-03-31T00:00:00"/>
    <x v="1"/>
    <n v="2190483"/>
    <n v="600"/>
    <x v="0"/>
    <x v="3"/>
    <n v="66"/>
    <n v="9932.49"/>
    <x v="0"/>
  </r>
  <r>
    <s v="HSBC100457"/>
    <s v="Neha Sharma"/>
    <n v="65"/>
    <x v="10"/>
    <x v="2"/>
    <x v="1"/>
    <d v="2026-01-19T00:00:00"/>
    <x v="1"/>
    <n v="3161898"/>
    <n v="742"/>
    <x v="2"/>
    <x v="2"/>
    <n v="61"/>
    <n v="39248.089999999997"/>
    <x v="0"/>
  </r>
  <r>
    <s v="HSBC100458"/>
    <s v="Neha Singh"/>
    <n v="67"/>
    <x v="8"/>
    <x v="1"/>
    <x v="0"/>
    <d v="2026-07-18T00:00:00"/>
    <x v="1"/>
    <n v="737335"/>
    <n v="676"/>
    <x v="3"/>
    <x v="3"/>
    <n v="46"/>
    <n v="11428.1"/>
    <x v="0"/>
  </r>
  <r>
    <s v="HSBC100459"/>
    <s v="Meera Iyer"/>
    <n v="32"/>
    <x v="2"/>
    <x v="1"/>
    <x v="1"/>
    <d v="2026-05-21T00:00:00"/>
    <x v="3"/>
    <n v="3759163"/>
    <n v="634"/>
    <x v="0"/>
    <x v="3"/>
    <n v="69"/>
    <n v="9766.7999999999993"/>
    <x v="0"/>
  </r>
  <r>
    <s v="HSBC100460"/>
    <s v="Neha Sen"/>
    <n v="41"/>
    <x v="11"/>
    <x v="1"/>
    <x v="0"/>
    <d v="2026-01-02T00:00:00"/>
    <x v="0"/>
    <n v="3637951"/>
    <n v="706"/>
    <x v="4"/>
    <x v="0"/>
    <n v="114"/>
    <n v="4958.42"/>
    <x v="0"/>
  </r>
  <r>
    <s v="HSBC100461"/>
    <s v="Sneha Verma"/>
    <n v="31"/>
    <x v="7"/>
    <x v="1"/>
    <x v="3"/>
    <d v="2025-05-24T00:00:00"/>
    <x v="1"/>
    <n v="1511402"/>
    <n v="772"/>
    <x v="6"/>
    <x v="3"/>
    <n v="75"/>
    <n v="38169.449999999997"/>
    <x v="0"/>
  </r>
  <r>
    <s v="HSBC100462"/>
    <s v="Neha Chatterjee"/>
    <n v="59"/>
    <x v="3"/>
    <x v="0"/>
    <x v="2"/>
    <d v="2025-03-10T00:00:00"/>
    <x v="1"/>
    <n v="4125251"/>
    <n v="822"/>
    <x v="4"/>
    <x v="0"/>
    <n v="74"/>
    <n v="5205.01"/>
    <x v="0"/>
  </r>
  <r>
    <s v="HSBC100463"/>
    <s v="Arjun Das"/>
    <n v="48"/>
    <x v="3"/>
    <x v="0"/>
    <x v="0"/>
    <d v="2025-04-09T00:00:00"/>
    <x v="1"/>
    <n v="4090507"/>
    <n v="667"/>
    <x v="6"/>
    <x v="2"/>
    <n v="43"/>
    <n v="8061.41"/>
    <x v="0"/>
  </r>
  <r>
    <s v="HSBC100464"/>
    <s v="Rahul Nair"/>
    <n v="25"/>
    <x v="5"/>
    <x v="1"/>
    <x v="0"/>
    <d v="2026-01-31T00:00:00"/>
    <x v="2"/>
    <n v="1616851"/>
    <n v="794"/>
    <x v="1"/>
    <x v="2"/>
    <n v="59"/>
    <n v="5465.86"/>
    <x v="0"/>
  </r>
  <r>
    <s v="HSBC100465"/>
    <s v="Arjun Gupta"/>
    <n v="37"/>
    <x v="0"/>
    <x v="1"/>
    <x v="0"/>
    <d v="2025-01-25T00:00:00"/>
    <x v="3"/>
    <n v="2829082"/>
    <n v="671"/>
    <x v="6"/>
    <x v="0"/>
    <n v="2"/>
    <n v="10032.700000000001"/>
    <x v="0"/>
  </r>
  <r>
    <s v="HSBC100466"/>
    <s v="Nikhil Gupta"/>
    <n v="40"/>
    <x v="6"/>
    <x v="1"/>
    <x v="1"/>
    <d v="2026-04-14T00:00:00"/>
    <x v="1"/>
    <n v="2376028"/>
    <n v="814"/>
    <x v="5"/>
    <x v="1"/>
    <n v="15"/>
    <n v="40012"/>
    <x v="0"/>
  </r>
  <r>
    <s v="HSBC100467"/>
    <s v="Vivaan Das"/>
    <n v="61"/>
    <x v="8"/>
    <x v="2"/>
    <x v="1"/>
    <d v="2026-04-29T00:00:00"/>
    <x v="1"/>
    <n v="3235032"/>
    <n v="763"/>
    <x v="5"/>
    <x v="2"/>
    <n v="103"/>
    <n v="3458.49"/>
    <x v="0"/>
  </r>
  <r>
    <s v="HSBC100468"/>
    <s v="Sneha Singh"/>
    <n v="66"/>
    <x v="9"/>
    <x v="3"/>
    <x v="1"/>
    <d v="2026-07-19T00:00:00"/>
    <x v="4"/>
    <n v="3327195"/>
    <n v="617"/>
    <x v="5"/>
    <x v="1"/>
    <n v="105"/>
    <n v="10078.709999999999"/>
    <x v="0"/>
  </r>
  <r>
    <s v="HSBC100469"/>
    <s v="Nikhil Iyer"/>
    <n v="32"/>
    <x v="11"/>
    <x v="1"/>
    <x v="0"/>
    <d v="2025-05-31T00:00:00"/>
    <x v="2"/>
    <n v="2576344"/>
    <n v="718"/>
    <x v="3"/>
    <x v="2"/>
    <n v="37"/>
    <n v="13502.33"/>
    <x v="0"/>
  </r>
  <r>
    <s v="HSBC100470"/>
    <s v="Ananya Sharma"/>
    <n v="26"/>
    <x v="4"/>
    <x v="1"/>
    <x v="1"/>
    <d v="2025-05-24T00:00:00"/>
    <x v="1"/>
    <n v="3707100"/>
    <n v="774"/>
    <x v="4"/>
    <x v="2"/>
    <n v="71"/>
    <n v="3816.36"/>
    <x v="0"/>
  </r>
  <r>
    <s v="HSBC100471"/>
    <s v="Karan Singh"/>
    <n v="37"/>
    <x v="9"/>
    <x v="2"/>
    <x v="0"/>
    <d v="2026-07-23T00:00:00"/>
    <x v="2"/>
    <n v="2599465"/>
    <n v="594"/>
    <x v="6"/>
    <x v="4"/>
    <n v="20"/>
    <n v="8417.2099999999991"/>
    <x v="1"/>
  </r>
  <r>
    <s v="HSBC100472"/>
    <s v="Kavya Sharma"/>
    <n v="39"/>
    <x v="6"/>
    <x v="3"/>
    <x v="1"/>
    <d v="2025-02-08T00:00:00"/>
    <x v="1"/>
    <n v="1326837"/>
    <n v="836"/>
    <x v="4"/>
    <x v="3"/>
    <n v="98"/>
    <n v="62561.61"/>
    <x v="0"/>
  </r>
  <r>
    <s v="HSBC100473"/>
    <s v="Ishita Banerjee"/>
    <n v="46"/>
    <x v="11"/>
    <x v="1"/>
    <x v="2"/>
    <d v="2025-04-19T00:00:00"/>
    <x v="1"/>
    <n v="3349449"/>
    <n v="714"/>
    <x v="2"/>
    <x v="3"/>
    <n v="35"/>
    <n v="1398.4"/>
    <x v="0"/>
  </r>
  <r>
    <s v="HSBC100474"/>
    <s v="Karan Verma"/>
    <n v="68"/>
    <x v="3"/>
    <x v="1"/>
    <x v="1"/>
    <d v="2025-02-11T00:00:00"/>
    <x v="4"/>
    <n v="3360999"/>
    <n v="580"/>
    <x v="5"/>
    <x v="1"/>
    <n v="34"/>
    <n v="5754.51"/>
    <x v="0"/>
  </r>
  <r>
    <s v="HSBC100475"/>
    <s v="Nikhil Khan"/>
    <n v="64"/>
    <x v="4"/>
    <x v="1"/>
    <x v="0"/>
    <d v="2025-07-05T00:00:00"/>
    <x v="4"/>
    <n v="1787746"/>
    <n v="628"/>
    <x v="1"/>
    <x v="3"/>
    <n v="117"/>
    <n v="11650.3"/>
    <x v="0"/>
  </r>
  <r>
    <s v="HSBC100476"/>
    <s v="Aarav Sharma"/>
    <n v="64"/>
    <x v="7"/>
    <x v="0"/>
    <x v="2"/>
    <d v="2026-02-02T00:00:00"/>
    <x v="1"/>
    <n v="1879040"/>
    <n v="675"/>
    <x v="3"/>
    <x v="5"/>
    <n v="86"/>
    <n v="6034.57"/>
    <x v="0"/>
  </r>
  <r>
    <s v="HSBC100477"/>
    <s v="Sanjay Mondal"/>
    <n v="52"/>
    <x v="0"/>
    <x v="1"/>
    <x v="1"/>
    <d v="2025-08-11T00:00:00"/>
    <x v="0"/>
    <n v="2661596"/>
    <n v="780"/>
    <x v="1"/>
    <x v="2"/>
    <n v="31"/>
    <n v="185453.57"/>
    <x v="0"/>
  </r>
  <r>
    <s v="HSBC100478"/>
    <s v="Ishita Gupta"/>
    <n v="26"/>
    <x v="8"/>
    <x v="1"/>
    <x v="1"/>
    <d v="2025-05-13T00:00:00"/>
    <x v="1"/>
    <n v="2489564"/>
    <n v="605"/>
    <x v="6"/>
    <x v="4"/>
    <n v="87"/>
    <n v="15932.64"/>
    <x v="0"/>
  </r>
  <r>
    <s v="HSBC100479"/>
    <s v="Ananya Mondal"/>
    <n v="56"/>
    <x v="7"/>
    <x v="0"/>
    <x v="0"/>
    <d v="2025-06-12T00:00:00"/>
    <x v="4"/>
    <n v="3913289"/>
    <n v="814"/>
    <x v="0"/>
    <x v="4"/>
    <n v="19"/>
    <n v="2991.15"/>
    <x v="0"/>
  </r>
  <r>
    <s v="HSBC100480"/>
    <s v="Vikram Nair"/>
    <n v="58"/>
    <x v="0"/>
    <x v="1"/>
    <x v="2"/>
    <d v="2025-08-03T00:00:00"/>
    <x v="1"/>
    <n v="4438699"/>
    <n v="823"/>
    <x v="1"/>
    <x v="2"/>
    <n v="68"/>
    <n v="770.01"/>
    <x v="0"/>
  </r>
  <r>
    <s v="HSBC100481"/>
    <s v="Pooja Banerjee"/>
    <n v="31"/>
    <x v="10"/>
    <x v="2"/>
    <x v="1"/>
    <d v="2025-08-23T00:00:00"/>
    <x v="3"/>
    <n v="3166596"/>
    <n v="630"/>
    <x v="0"/>
    <x v="5"/>
    <n v="24"/>
    <n v="12801.14"/>
    <x v="1"/>
  </r>
  <r>
    <s v="HSBC100482"/>
    <s v="Vivaan Nair"/>
    <n v="53"/>
    <x v="5"/>
    <x v="1"/>
    <x v="3"/>
    <d v="2026-08-11T00:00:00"/>
    <x v="3"/>
    <n v="4377436"/>
    <n v="660"/>
    <x v="3"/>
    <x v="0"/>
    <n v="84"/>
    <n v="4050.52"/>
    <x v="2"/>
  </r>
  <r>
    <s v="HSBC100483"/>
    <s v="Neha Mondal"/>
    <n v="44"/>
    <x v="11"/>
    <x v="1"/>
    <x v="0"/>
    <d v="2025-01-09T00:00:00"/>
    <x v="1"/>
    <n v="2715933"/>
    <n v="615"/>
    <x v="1"/>
    <x v="3"/>
    <n v="39"/>
    <n v="34660.06"/>
    <x v="0"/>
  </r>
  <r>
    <s v="HSBC100484"/>
    <s v="Vikram Malhotra"/>
    <n v="43"/>
    <x v="7"/>
    <x v="0"/>
    <x v="3"/>
    <d v="2025-03-15T00:00:00"/>
    <x v="3"/>
    <n v="3712511"/>
    <n v="646"/>
    <x v="1"/>
    <x v="1"/>
    <n v="92"/>
    <n v="6710.25"/>
    <x v="0"/>
  </r>
  <r>
    <s v="HSBC100485"/>
    <s v="Vivaan Gupta"/>
    <n v="35"/>
    <x v="0"/>
    <x v="1"/>
    <x v="1"/>
    <d v="2026-05-07T00:00:00"/>
    <x v="3"/>
    <n v="634083"/>
    <n v="708"/>
    <x v="7"/>
    <x v="4"/>
    <n v="54"/>
    <n v="4930.67"/>
    <x v="0"/>
  </r>
  <r>
    <s v="HSBC100486"/>
    <s v="Ishita Sen"/>
    <n v="47"/>
    <x v="9"/>
    <x v="3"/>
    <x v="1"/>
    <d v="2025-09-10T00:00:00"/>
    <x v="4"/>
    <n v="781598"/>
    <n v="734"/>
    <x v="3"/>
    <x v="3"/>
    <n v="39"/>
    <n v="4843.97"/>
    <x v="0"/>
  </r>
  <r>
    <s v="HSBC100487"/>
    <s v="Vivaan Malhotra"/>
    <n v="31"/>
    <x v="5"/>
    <x v="0"/>
    <x v="3"/>
    <d v="2025-08-18T00:00:00"/>
    <x v="1"/>
    <n v="2528845"/>
    <n v="824"/>
    <x v="3"/>
    <x v="2"/>
    <n v="17"/>
    <n v="25231.15"/>
    <x v="0"/>
  </r>
  <r>
    <s v="HSBC100488"/>
    <s v="Rohan Verma"/>
    <n v="70"/>
    <x v="0"/>
    <x v="1"/>
    <x v="2"/>
    <d v="2026-06-03T00:00:00"/>
    <x v="4"/>
    <n v="916252"/>
    <n v="690"/>
    <x v="5"/>
    <x v="4"/>
    <n v="19"/>
    <n v="13854.46"/>
    <x v="0"/>
  </r>
  <r>
    <s v="HSBC100489"/>
    <s v="Ishita Roy"/>
    <n v="37"/>
    <x v="1"/>
    <x v="2"/>
    <x v="0"/>
    <d v="2025-06-23T00:00:00"/>
    <x v="3"/>
    <n v="3300798"/>
    <n v="747"/>
    <x v="6"/>
    <x v="1"/>
    <n v="118"/>
    <n v="56599.45"/>
    <x v="0"/>
  </r>
  <r>
    <s v="HSBC100490"/>
    <s v="Kavya Chatterjee"/>
    <n v="34"/>
    <x v="10"/>
    <x v="1"/>
    <x v="1"/>
    <d v="2025-06-17T00:00:00"/>
    <x v="1"/>
    <n v="2786047"/>
    <n v="721"/>
    <x v="1"/>
    <x v="1"/>
    <n v="48"/>
    <n v="7144.78"/>
    <x v="0"/>
  </r>
  <r>
    <s v="HSBC100491"/>
    <s v="Meera Patel"/>
    <n v="47"/>
    <x v="6"/>
    <x v="2"/>
    <x v="1"/>
    <d v="2025-06-19T00:00:00"/>
    <x v="0"/>
    <n v="3574353"/>
    <n v="776"/>
    <x v="4"/>
    <x v="0"/>
    <n v="35"/>
    <n v="22145.58"/>
    <x v="0"/>
  </r>
  <r>
    <s v="HSBC100492"/>
    <s v="Rahul Nair"/>
    <n v="38"/>
    <x v="7"/>
    <x v="1"/>
    <x v="1"/>
    <d v="2026-01-28T00:00:00"/>
    <x v="1"/>
    <n v="3504992"/>
    <n v="688"/>
    <x v="1"/>
    <x v="3"/>
    <n v="32"/>
    <n v="22546.720000000001"/>
    <x v="0"/>
  </r>
  <r>
    <s v="HSBC100493"/>
    <s v="Amit Khan"/>
    <n v="48"/>
    <x v="8"/>
    <x v="0"/>
    <x v="1"/>
    <d v="2025-07-13T00:00:00"/>
    <x v="1"/>
    <n v="946362"/>
    <n v="658"/>
    <x v="2"/>
    <x v="2"/>
    <n v="47"/>
    <n v="18169.580000000002"/>
    <x v="0"/>
  </r>
  <r>
    <s v="HSBC100494"/>
    <s v="Ananya Iyer"/>
    <n v="67"/>
    <x v="10"/>
    <x v="1"/>
    <x v="1"/>
    <d v="2026-06-01T00:00:00"/>
    <x v="2"/>
    <n v="3785443"/>
    <n v="740"/>
    <x v="3"/>
    <x v="4"/>
    <n v="110"/>
    <n v="5243"/>
    <x v="0"/>
  </r>
  <r>
    <s v="HSBC100495"/>
    <s v="Ananya Patel"/>
    <n v="67"/>
    <x v="5"/>
    <x v="1"/>
    <x v="1"/>
    <d v="2025-01-29T00:00:00"/>
    <x v="2"/>
    <n v="2182303"/>
    <n v="598"/>
    <x v="4"/>
    <x v="1"/>
    <n v="47"/>
    <n v="14721.71"/>
    <x v="0"/>
  </r>
  <r>
    <s v="HSBC100496"/>
    <s v="Meera Verma"/>
    <n v="24"/>
    <x v="1"/>
    <x v="2"/>
    <x v="3"/>
    <d v="2025-06-14T00:00:00"/>
    <x v="2"/>
    <n v="3001821"/>
    <n v="706"/>
    <x v="3"/>
    <x v="4"/>
    <n v="64"/>
    <n v="8086.05"/>
    <x v="1"/>
  </r>
  <r>
    <s v="HSBC100497"/>
    <s v="Kavya Singh"/>
    <n v="27"/>
    <x v="11"/>
    <x v="2"/>
    <x v="1"/>
    <d v="2026-02-26T00:00:00"/>
    <x v="1"/>
    <n v="676941"/>
    <n v="784"/>
    <x v="6"/>
    <x v="2"/>
    <n v="46"/>
    <n v="7866.02"/>
    <x v="0"/>
  </r>
  <r>
    <s v="HSBC100498"/>
    <s v="Arjun Chatterjee"/>
    <n v="65"/>
    <x v="9"/>
    <x v="1"/>
    <x v="0"/>
    <d v="2025-12-05T00:00:00"/>
    <x v="0"/>
    <n v="4123770"/>
    <n v="608"/>
    <x v="3"/>
    <x v="4"/>
    <n v="103"/>
    <n v="3842.58"/>
    <x v="0"/>
  </r>
  <r>
    <s v="HSBC100499"/>
    <s v="Nikhil Verma"/>
    <n v="55"/>
    <x v="8"/>
    <x v="1"/>
    <x v="0"/>
    <d v="2026-05-11T00:00:00"/>
    <x v="1"/>
    <n v="636354"/>
    <n v="786"/>
    <x v="0"/>
    <x v="3"/>
    <n v="35"/>
    <n v="966.46"/>
    <x v="0"/>
  </r>
  <r>
    <s v="HSBC100500"/>
    <s v="Arjun Sen"/>
    <n v="68"/>
    <x v="7"/>
    <x v="2"/>
    <x v="2"/>
    <d v="2025-12-31T00:00:00"/>
    <x v="1"/>
    <n v="3190149"/>
    <n v="730"/>
    <x v="0"/>
    <x v="0"/>
    <n v="94"/>
    <n v="33216.269999999997"/>
    <x v="0"/>
  </r>
  <r>
    <s v="HSBC100501"/>
    <s v="Sneha Gupta"/>
    <n v="29"/>
    <x v="8"/>
    <x v="3"/>
    <x v="1"/>
    <d v="2025-12-08T00:00:00"/>
    <x v="1"/>
    <n v="1185709"/>
    <n v="819"/>
    <x v="7"/>
    <x v="4"/>
    <n v="17"/>
    <n v="14088.81"/>
    <x v="0"/>
  </r>
  <r>
    <s v="HSBC100502"/>
    <s v="Nikhil Das"/>
    <n v="28"/>
    <x v="10"/>
    <x v="1"/>
    <x v="0"/>
    <d v="2026-05-15T00:00:00"/>
    <x v="2"/>
    <n v="2735178"/>
    <n v="845"/>
    <x v="0"/>
    <x v="0"/>
    <n v="42"/>
    <n v="2185.59"/>
    <x v="0"/>
  </r>
  <r>
    <s v="HSBC100503"/>
    <s v="Pooja Iyer"/>
    <n v="65"/>
    <x v="5"/>
    <x v="1"/>
    <x v="2"/>
    <d v="2026-05-26T00:00:00"/>
    <x v="3"/>
    <n v="3503965"/>
    <n v="761"/>
    <x v="0"/>
    <x v="2"/>
    <n v="111"/>
    <n v="19026.650000000001"/>
    <x v="0"/>
  </r>
  <r>
    <s v="HSBC100504"/>
    <s v="Arjun Malhotra"/>
    <n v="37"/>
    <x v="11"/>
    <x v="1"/>
    <x v="0"/>
    <d v="2025-11-23T00:00:00"/>
    <x v="2"/>
    <n v="2335469"/>
    <n v="684"/>
    <x v="6"/>
    <x v="0"/>
    <n v="29"/>
    <n v="33912.61"/>
    <x v="0"/>
  </r>
  <r>
    <s v="HSBC100505"/>
    <s v="Varun Nair"/>
    <n v="37"/>
    <x v="3"/>
    <x v="2"/>
    <x v="0"/>
    <d v="2025-08-05T00:00:00"/>
    <x v="3"/>
    <n v="3915632"/>
    <n v="815"/>
    <x v="1"/>
    <x v="4"/>
    <n v="70"/>
    <n v="20262.98"/>
    <x v="0"/>
  </r>
  <r>
    <s v="HSBC100506"/>
    <s v="Kavya Khan"/>
    <n v="69"/>
    <x v="1"/>
    <x v="1"/>
    <x v="3"/>
    <d v="2025-10-28T00:00:00"/>
    <x v="1"/>
    <n v="3772348"/>
    <n v="752"/>
    <x v="0"/>
    <x v="4"/>
    <n v="17"/>
    <n v="3511.43"/>
    <x v="0"/>
  </r>
  <r>
    <s v="HSBC100507"/>
    <s v="Aditya Mehta"/>
    <n v="53"/>
    <x v="7"/>
    <x v="1"/>
    <x v="2"/>
    <d v="2025-05-12T00:00:00"/>
    <x v="5"/>
    <n v="1596365"/>
    <n v="737"/>
    <x v="4"/>
    <x v="1"/>
    <n v="81"/>
    <n v="4152.26"/>
    <x v="0"/>
  </r>
  <r>
    <s v="HSBC100508"/>
    <s v="Meera Banerjee"/>
    <n v="52"/>
    <x v="3"/>
    <x v="2"/>
    <x v="1"/>
    <d v="2025-03-11T00:00:00"/>
    <x v="1"/>
    <n v="1386078"/>
    <n v="751"/>
    <x v="7"/>
    <x v="4"/>
    <n v="14"/>
    <n v="5037.83"/>
    <x v="0"/>
  </r>
  <r>
    <s v="HSBC100509"/>
    <s v="Arjun Nair"/>
    <n v="28"/>
    <x v="9"/>
    <x v="1"/>
    <x v="2"/>
    <d v="2025-09-09T00:00:00"/>
    <x v="1"/>
    <n v="736598"/>
    <n v="736"/>
    <x v="3"/>
    <x v="0"/>
    <n v="24"/>
    <n v="22117.82"/>
    <x v="0"/>
  </r>
  <r>
    <s v="HSBC100510"/>
    <s v="Amit Das"/>
    <n v="39"/>
    <x v="11"/>
    <x v="1"/>
    <x v="1"/>
    <d v="2026-02-19T00:00:00"/>
    <x v="1"/>
    <n v="783037"/>
    <n v="837"/>
    <x v="0"/>
    <x v="1"/>
    <n v="57"/>
    <n v="14807.78"/>
    <x v="0"/>
  </r>
  <r>
    <s v="HSBC100511"/>
    <s v="Sanjay Iyer"/>
    <n v="58"/>
    <x v="2"/>
    <x v="1"/>
    <x v="3"/>
    <d v="2026-03-21T00:00:00"/>
    <x v="2"/>
    <n v="4081871"/>
    <n v="743"/>
    <x v="7"/>
    <x v="4"/>
    <n v="50"/>
    <n v="167678.91"/>
    <x v="0"/>
  </r>
  <r>
    <s v="HSBC100512"/>
    <s v="Arjun Banerjee"/>
    <n v="23"/>
    <x v="2"/>
    <x v="1"/>
    <x v="1"/>
    <d v="2025-07-01T00:00:00"/>
    <x v="1"/>
    <n v="834933"/>
    <n v="726"/>
    <x v="6"/>
    <x v="4"/>
    <n v="57"/>
    <n v="1598.9"/>
    <x v="0"/>
  </r>
  <r>
    <s v="HSBC100513"/>
    <s v="Ananya Patel"/>
    <n v="25"/>
    <x v="11"/>
    <x v="1"/>
    <x v="1"/>
    <d v="2025-06-16T00:00:00"/>
    <x v="4"/>
    <n v="463933"/>
    <n v="733"/>
    <x v="2"/>
    <x v="2"/>
    <n v="101"/>
    <n v="8474.1200000000008"/>
    <x v="0"/>
  </r>
  <r>
    <s v="HSBC100514"/>
    <s v="Ishita Banerjee"/>
    <n v="33"/>
    <x v="1"/>
    <x v="0"/>
    <x v="0"/>
    <d v="2025-04-01T00:00:00"/>
    <x v="1"/>
    <n v="1251720"/>
    <n v="617"/>
    <x v="2"/>
    <x v="1"/>
    <n v="61"/>
    <n v="1183.06"/>
    <x v="0"/>
  </r>
  <r>
    <s v="HSBC100515"/>
    <s v="Karan Iyer"/>
    <n v="67"/>
    <x v="4"/>
    <x v="1"/>
    <x v="2"/>
    <d v="2026-06-15T00:00:00"/>
    <x v="1"/>
    <n v="2397914"/>
    <n v="710"/>
    <x v="2"/>
    <x v="2"/>
    <n v="104"/>
    <n v="16755.47"/>
    <x v="0"/>
  </r>
  <r>
    <s v="HSBC100516"/>
    <s v="Karan Verma"/>
    <n v="66"/>
    <x v="3"/>
    <x v="0"/>
    <x v="1"/>
    <d v="2025-02-08T00:00:00"/>
    <x v="2"/>
    <n v="2935662"/>
    <n v="834"/>
    <x v="3"/>
    <x v="2"/>
    <n v="39"/>
    <n v="27453.24"/>
    <x v="1"/>
  </r>
  <r>
    <s v="HSBC100517"/>
    <s v="Sanjay Banerjee"/>
    <n v="51"/>
    <x v="0"/>
    <x v="2"/>
    <x v="1"/>
    <d v="2025-05-06T00:00:00"/>
    <x v="1"/>
    <n v="677709"/>
    <n v="787"/>
    <x v="7"/>
    <x v="2"/>
    <n v="55"/>
    <n v="40709.279999999999"/>
    <x v="0"/>
  </r>
  <r>
    <s v="HSBC100518"/>
    <s v="Priya Mehta"/>
    <n v="36"/>
    <x v="8"/>
    <x v="2"/>
    <x v="0"/>
    <d v="2026-03-27T00:00:00"/>
    <x v="3"/>
    <n v="505539"/>
    <n v="674"/>
    <x v="0"/>
    <x v="3"/>
    <n v="96"/>
    <n v="10915.6"/>
    <x v="1"/>
  </r>
  <r>
    <s v="HSBC100519"/>
    <s v="Arjun Roy"/>
    <n v="70"/>
    <x v="7"/>
    <x v="1"/>
    <x v="1"/>
    <d v="2025-06-22T00:00:00"/>
    <x v="2"/>
    <n v="2000866"/>
    <n v="750"/>
    <x v="1"/>
    <x v="2"/>
    <n v="36"/>
    <n v="1201.1400000000001"/>
    <x v="0"/>
  </r>
  <r>
    <s v="HSBC100520"/>
    <s v="Arjun Gupta"/>
    <n v="52"/>
    <x v="4"/>
    <x v="1"/>
    <x v="0"/>
    <d v="2025-08-08T00:00:00"/>
    <x v="1"/>
    <n v="3554513"/>
    <n v="829"/>
    <x v="3"/>
    <x v="0"/>
    <n v="114"/>
    <n v="8495.94"/>
    <x v="0"/>
  </r>
  <r>
    <s v="HSBC100521"/>
    <s v="Karan Gupta"/>
    <n v="42"/>
    <x v="0"/>
    <x v="1"/>
    <x v="1"/>
    <d v="2025-02-27T00:00:00"/>
    <x v="0"/>
    <n v="4027173"/>
    <n v="769"/>
    <x v="3"/>
    <x v="4"/>
    <n v="37"/>
    <n v="14166.42"/>
    <x v="0"/>
  </r>
  <r>
    <s v="HSBC100522"/>
    <s v="Aarav Khan"/>
    <n v="49"/>
    <x v="5"/>
    <x v="1"/>
    <x v="0"/>
    <d v="2026-04-21T00:00:00"/>
    <x v="1"/>
    <n v="2052272"/>
    <n v="778"/>
    <x v="2"/>
    <x v="3"/>
    <n v="112"/>
    <n v="3116.91"/>
    <x v="0"/>
  </r>
  <r>
    <s v="HSBC100523"/>
    <s v="Sneha Banerjee"/>
    <n v="42"/>
    <x v="7"/>
    <x v="1"/>
    <x v="0"/>
    <d v="2026-04-01T00:00:00"/>
    <x v="1"/>
    <n v="4426429"/>
    <n v="800"/>
    <x v="1"/>
    <x v="2"/>
    <n v="14"/>
    <n v="6780.27"/>
    <x v="0"/>
  </r>
  <r>
    <s v="HSBC100524"/>
    <s v="Kavya Chatterjee"/>
    <n v="63"/>
    <x v="7"/>
    <x v="0"/>
    <x v="1"/>
    <d v="2025-12-27T00:00:00"/>
    <x v="2"/>
    <n v="3418097"/>
    <n v="603"/>
    <x v="2"/>
    <x v="4"/>
    <n v="27"/>
    <n v="2342.79"/>
    <x v="0"/>
  </r>
  <r>
    <s v="HSBC100525"/>
    <s v="Sneha Patel"/>
    <n v="23"/>
    <x v="2"/>
    <x v="1"/>
    <x v="1"/>
    <d v="2025-01-01T00:00:00"/>
    <x v="1"/>
    <n v="2285030"/>
    <n v="823"/>
    <x v="3"/>
    <x v="1"/>
    <n v="83"/>
    <n v="4706.3100000000004"/>
    <x v="0"/>
  </r>
  <r>
    <s v="HSBC100526"/>
    <s v="Neha Banerjee"/>
    <n v="30"/>
    <x v="1"/>
    <x v="1"/>
    <x v="1"/>
    <d v="2026-01-22T00:00:00"/>
    <x v="4"/>
    <n v="2200852"/>
    <n v="707"/>
    <x v="0"/>
    <x v="1"/>
    <n v="31"/>
    <n v="23343.87"/>
    <x v="0"/>
  </r>
  <r>
    <s v="HSBC100527"/>
    <s v="Neha Verma"/>
    <n v="62"/>
    <x v="5"/>
    <x v="1"/>
    <x v="0"/>
    <d v="2025-12-14T00:00:00"/>
    <x v="4"/>
    <n v="262120"/>
    <n v="672"/>
    <x v="2"/>
    <x v="4"/>
    <n v="110"/>
    <n v="18291.12"/>
    <x v="0"/>
  </r>
  <r>
    <s v="HSBC100528"/>
    <s v="Priya Mehta"/>
    <n v="41"/>
    <x v="8"/>
    <x v="0"/>
    <x v="2"/>
    <d v="2025-07-09T00:00:00"/>
    <x v="0"/>
    <n v="874135"/>
    <n v="712"/>
    <x v="2"/>
    <x v="0"/>
    <n v="73"/>
    <n v="2069.41"/>
    <x v="0"/>
  </r>
  <r>
    <s v="HSBC100529"/>
    <s v="Priya Mehta"/>
    <n v="36"/>
    <x v="6"/>
    <x v="1"/>
    <x v="2"/>
    <d v="2026-05-20T00:00:00"/>
    <x v="1"/>
    <n v="2303902"/>
    <n v="634"/>
    <x v="4"/>
    <x v="4"/>
    <n v="102"/>
    <n v="4271.6899999999996"/>
    <x v="0"/>
  </r>
  <r>
    <s v="HSBC100530"/>
    <s v="Meera Sharma"/>
    <n v="32"/>
    <x v="0"/>
    <x v="0"/>
    <x v="1"/>
    <d v="2025-07-10T00:00:00"/>
    <x v="1"/>
    <n v="2471186"/>
    <n v="737"/>
    <x v="2"/>
    <x v="4"/>
    <n v="81"/>
    <n v="9508.5499999999993"/>
    <x v="0"/>
  </r>
  <r>
    <s v="HSBC100531"/>
    <s v="Rohan Roy"/>
    <n v="22"/>
    <x v="2"/>
    <x v="1"/>
    <x v="1"/>
    <d v="2026-05-23T00:00:00"/>
    <x v="4"/>
    <n v="3571613"/>
    <n v="608"/>
    <x v="3"/>
    <x v="3"/>
    <n v="83"/>
    <n v="11359.96"/>
    <x v="0"/>
  </r>
  <r>
    <s v="HSBC100532"/>
    <s v="Amit Mehta"/>
    <n v="61"/>
    <x v="7"/>
    <x v="2"/>
    <x v="1"/>
    <d v="2026-01-04T00:00:00"/>
    <x v="1"/>
    <n v="1084030"/>
    <n v="790"/>
    <x v="0"/>
    <x v="1"/>
    <n v="44"/>
    <n v="4464.71"/>
    <x v="2"/>
  </r>
  <r>
    <s v="HSBC100533"/>
    <s v="Nikhil Roy"/>
    <n v="44"/>
    <x v="4"/>
    <x v="2"/>
    <x v="1"/>
    <d v="2026-02-13T00:00:00"/>
    <x v="5"/>
    <n v="2601441"/>
    <n v="733"/>
    <x v="1"/>
    <x v="1"/>
    <n v="68"/>
    <n v="14768.92"/>
    <x v="0"/>
  </r>
  <r>
    <s v="HSBC100534"/>
    <s v="Karan Banerjee"/>
    <n v="55"/>
    <x v="2"/>
    <x v="1"/>
    <x v="2"/>
    <d v="2025-04-27T00:00:00"/>
    <x v="2"/>
    <n v="3174553"/>
    <n v="801"/>
    <x v="5"/>
    <x v="2"/>
    <n v="48"/>
    <n v="8629.6"/>
    <x v="0"/>
  </r>
  <r>
    <s v="HSBC100535"/>
    <s v="Amit Mondal"/>
    <n v="50"/>
    <x v="0"/>
    <x v="1"/>
    <x v="0"/>
    <d v="2025-05-14T00:00:00"/>
    <x v="1"/>
    <n v="2516598"/>
    <n v="694"/>
    <x v="1"/>
    <x v="4"/>
    <n v="57"/>
    <n v="598.57000000000005"/>
    <x v="0"/>
  </r>
  <r>
    <s v="HSBC100536"/>
    <s v="Arjun Banerjee"/>
    <n v="50"/>
    <x v="0"/>
    <x v="1"/>
    <x v="0"/>
    <d v="2025-02-27T00:00:00"/>
    <x v="1"/>
    <n v="2026238"/>
    <n v="737"/>
    <x v="0"/>
    <x v="4"/>
    <n v="75"/>
    <n v="4913.5200000000004"/>
    <x v="0"/>
  </r>
  <r>
    <s v="HSBC100537"/>
    <s v="Aarav Patel"/>
    <n v="67"/>
    <x v="1"/>
    <x v="1"/>
    <x v="1"/>
    <d v="2026-07-10T00:00:00"/>
    <x v="3"/>
    <n v="312784"/>
    <n v="838"/>
    <x v="6"/>
    <x v="0"/>
    <n v="22"/>
    <n v="4768.3900000000003"/>
    <x v="0"/>
  </r>
  <r>
    <s v="HSBC100538"/>
    <s v="Amit Sen"/>
    <n v="55"/>
    <x v="7"/>
    <x v="0"/>
    <x v="3"/>
    <d v="2025-06-22T00:00:00"/>
    <x v="3"/>
    <n v="2709730"/>
    <n v="830"/>
    <x v="2"/>
    <x v="1"/>
    <n v="4"/>
    <n v="18254.87"/>
    <x v="0"/>
  </r>
  <r>
    <s v="HSBC100539"/>
    <s v="Kavya Sharma"/>
    <n v="39"/>
    <x v="5"/>
    <x v="2"/>
    <x v="0"/>
    <d v="2025-05-29T00:00:00"/>
    <x v="1"/>
    <n v="2245127"/>
    <n v="701"/>
    <x v="1"/>
    <x v="0"/>
    <n v="81"/>
    <n v="18598.98"/>
    <x v="0"/>
  </r>
  <r>
    <s v="HSBC100540"/>
    <s v="Aditya Khan"/>
    <n v="70"/>
    <x v="3"/>
    <x v="0"/>
    <x v="3"/>
    <d v="2025-03-21T00:00:00"/>
    <x v="1"/>
    <n v="1991070"/>
    <n v="842"/>
    <x v="6"/>
    <x v="3"/>
    <n v="72"/>
    <n v="1547.34"/>
    <x v="0"/>
  </r>
  <r>
    <s v="HSBC100541"/>
    <s v="Vivaan Sharma"/>
    <n v="28"/>
    <x v="6"/>
    <x v="2"/>
    <x v="2"/>
    <d v="2025-08-01T00:00:00"/>
    <x v="1"/>
    <n v="1758834"/>
    <n v="628"/>
    <x v="6"/>
    <x v="2"/>
    <n v="46"/>
    <n v="14191.46"/>
    <x v="0"/>
  </r>
  <r>
    <s v="HSBC100542"/>
    <s v="Sanjay Gupta"/>
    <n v="46"/>
    <x v="1"/>
    <x v="1"/>
    <x v="1"/>
    <d v="2025-07-22T00:00:00"/>
    <x v="3"/>
    <n v="1285108"/>
    <n v="656"/>
    <x v="0"/>
    <x v="0"/>
    <n v="59"/>
    <n v="8286.1299999999992"/>
    <x v="0"/>
  </r>
  <r>
    <s v="HSBC100543"/>
    <s v="Meera Sen"/>
    <n v="69"/>
    <x v="9"/>
    <x v="1"/>
    <x v="1"/>
    <d v="2025-08-17T00:00:00"/>
    <x v="1"/>
    <n v="728365"/>
    <n v="706"/>
    <x v="0"/>
    <x v="1"/>
    <n v="34"/>
    <n v="10226.58"/>
    <x v="0"/>
  </r>
  <r>
    <s v="HSBC100544"/>
    <s v="Kavya Mondal"/>
    <n v="60"/>
    <x v="7"/>
    <x v="2"/>
    <x v="0"/>
    <d v="2025-08-15T00:00:00"/>
    <x v="4"/>
    <n v="3164212"/>
    <n v="776"/>
    <x v="4"/>
    <x v="3"/>
    <n v="11"/>
    <n v="4700.7700000000004"/>
    <x v="0"/>
  </r>
  <r>
    <s v="HSBC100545"/>
    <s v="Karan Malhotra"/>
    <n v="27"/>
    <x v="1"/>
    <x v="1"/>
    <x v="1"/>
    <d v="2026-06-16T00:00:00"/>
    <x v="1"/>
    <n v="2324242"/>
    <n v="800"/>
    <x v="2"/>
    <x v="4"/>
    <n v="31"/>
    <n v="8392.3700000000008"/>
    <x v="0"/>
  </r>
  <r>
    <s v="HSBC100546"/>
    <s v="Ananya Banerjee"/>
    <n v="50"/>
    <x v="8"/>
    <x v="0"/>
    <x v="1"/>
    <d v="2026-03-17T00:00:00"/>
    <x v="2"/>
    <n v="3465400"/>
    <n v="670"/>
    <x v="5"/>
    <x v="3"/>
    <n v="11"/>
    <n v="29966.73"/>
    <x v="0"/>
  </r>
  <r>
    <s v="HSBC100547"/>
    <s v="Neha Nair"/>
    <n v="27"/>
    <x v="6"/>
    <x v="1"/>
    <x v="2"/>
    <d v="2026-02-06T00:00:00"/>
    <x v="1"/>
    <n v="1869110"/>
    <n v="587"/>
    <x v="7"/>
    <x v="0"/>
    <n v="120"/>
    <n v="10074.83"/>
    <x v="0"/>
  </r>
  <r>
    <s v="HSBC100548"/>
    <s v="Sneha Iyer"/>
    <n v="23"/>
    <x v="2"/>
    <x v="1"/>
    <x v="2"/>
    <d v="2025-02-16T00:00:00"/>
    <x v="4"/>
    <n v="744209"/>
    <n v="611"/>
    <x v="3"/>
    <x v="1"/>
    <n v="118"/>
    <n v="8565.11"/>
    <x v="0"/>
  </r>
  <r>
    <s v="HSBC100549"/>
    <s v="Vivaan Malhotra"/>
    <n v="21"/>
    <x v="11"/>
    <x v="3"/>
    <x v="2"/>
    <d v="2025-08-21T00:00:00"/>
    <x v="1"/>
    <n v="863398"/>
    <n v="848"/>
    <x v="1"/>
    <x v="0"/>
    <n v="56"/>
    <n v="5414.5"/>
    <x v="0"/>
  </r>
  <r>
    <s v="HSBC100550"/>
    <s v="Aditya Patel"/>
    <n v="56"/>
    <x v="9"/>
    <x v="1"/>
    <x v="1"/>
    <d v="2025-11-01T00:00:00"/>
    <x v="2"/>
    <n v="1784230"/>
    <n v="770"/>
    <x v="0"/>
    <x v="4"/>
    <n v="38"/>
    <n v="27034.49"/>
    <x v="0"/>
  </r>
  <r>
    <s v="HSBC100551"/>
    <s v="Amit Mondal"/>
    <n v="45"/>
    <x v="10"/>
    <x v="3"/>
    <x v="1"/>
    <d v="2026-06-10T00:00:00"/>
    <x v="1"/>
    <n v="2013796"/>
    <n v="742"/>
    <x v="1"/>
    <x v="4"/>
    <n v="117"/>
    <n v="2333.61"/>
    <x v="0"/>
  </r>
  <r>
    <s v="HSBC100552"/>
    <s v="Priya Gupta"/>
    <n v="57"/>
    <x v="1"/>
    <x v="3"/>
    <x v="2"/>
    <d v="2025-05-23T00:00:00"/>
    <x v="4"/>
    <n v="1101980"/>
    <n v="640"/>
    <x v="7"/>
    <x v="1"/>
    <n v="21"/>
    <n v="3858.11"/>
    <x v="0"/>
  </r>
  <r>
    <s v="HSBC100553"/>
    <s v="Karan Singh"/>
    <n v="21"/>
    <x v="0"/>
    <x v="2"/>
    <x v="3"/>
    <d v="2026-02-19T00:00:00"/>
    <x v="3"/>
    <n v="2016299"/>
    <n v="843"/>
    <x v="7"/>
    <x v="2"/>
    <n v="110"/>
    <n v="2197.0700000000002"/>
    <x v="0"/>
  </r>
  <r>
    <s v="HSBC100554"/>
    <s v="Sanjay Chatterjee"/>
    <n v="35"/>
    <x v="3"/>
    <x v="0"/>
    <x v="0"/>
    <d v="2026-05-28T00:00:00"/>
    <x v="1"/>
    <n v="4270018"/>
    <n v="674"/>
    <x v="2"/>
    <x v="3"/>
    <n v="94"/>
    <n v="11055.9"/>
    <x v="0"/>
  </r>
  <r>
    <s v="HSBC100555"/>
    <s v="Karan Mehta"/>
    <n v="57"/>
    <x v="11"/>
    <x v="0"/>
    <x v="3"/>
    <d v="2026-01-08T00:00:00"/>
    <x v="3"/>
    <n v="1912656"/>
    <n v="620"/>
    <x v="6"/>
    <x v="3"/>
    <n v="10"/>
    <n v="30906.91"/>
    <x v="2"/>
  </r>
  <r>
    <s v="HSBC100556"/>
    <s v="Pooja Mondal"/>
    <n v="33"/>
    <x v="1"/>
    <x v="2"/>
    <x v="0"/>
    <d v="2026-07-20T00:00:00"/>
    <x v="2"/>
    <n v="2860366"/>
    <n v="728"/>
    <x v="2"/>
    <x v="4"/>
    <n v="26"/>
    <n v="6340.83"/>
    <x v="0"/>
  </r>
  <r>
    <s v="HSBC100557"/>
    <s v="Arjun Banerjee"/>
    <n v="60"/>
    <x v="1"/>
    <x v="1"/>
    <x v="2"/>
    <d v="2025-09-16T00:00:00"/>
    <x v="1"/>
    <n v="1484599"/>
    <n v="783"/>
    <x v="3"/>
    <x v="0"/>
    <n v="91"/>
    <n v="2913.54"/>
    <x v="0"/>
  </r>
  <r>
    <s v="HSBC100558"/>
    <s v="Rahul Banerjee"/>
    <n v="28"/>
    <x v="4"/>
    <x v="1"/>
    <x v="1"/>
    <d v="2026-04-16T00:00:00"/>
    <x v="1"/>
    <n v="810846"/>
    <n v="846"/>
    <x v="5"/>
    <x v="0"/>
    <n v="8"/>
    <n v="49924.58"/>
    <x v="0"/>
  </r>
  <r>
    <s v="HSBC100559"/>
    <s v="Karan Iyer"/>
    <n v="25"/>
    <x v="4"/>
    <x v="0"/>
    <x v="0"/>
    <d v="2025-01-12T00:00:00"/>
    <x v="1"/>
    <n v="1445307"/>
    <n v="581"/>
    <x v="1"/>
    <x v="2"/>
    <n v="103"/>
    <n v="14383.65"/>
    <x v="0"/>
  </r>
  <r>
    <s v="HSBC100560"/>
    <s v="Pooja Roy"/>
    <n v="29"/>
    <x v="11"/>
    <x v="1"/>
    <x v="2"/>
    <d v="2025-11-26T00:00:00"/>
    <x v="4"/>
    <n v="3121712"/>
    <n v="757"/>
    <x v="3"/>
    <x v="0"/>
    <n v="8"/>
    <n v="11984.87"/>
    <x v="1"/>
  </r>
  <r>
    <s v="HSBC100561"/>
    <s v="Vikram Sen"/>
    <n v="21"/>
    <x v="5"/>
    <x v="1"/>
    <x v="2"/>
    <d v="2025-12-24T00:00:00"/>
    <x v="4"/>
    <n v="4367143"/>
    <n v="773"/>
    <x v="4"/>
    <x v="3"/>
    <n v="60"/>
    <n v="7334.17"/>
    <x v="0"/>
  </r>
  <r>
    <s v="HSBC100562"/>
    <s v="Aarav Roy"/>
    <n v="56"/>
    <x v="2"/>
    <x v="1"/>
    <x v="2"/>
    <d v="2026-02-12T00:00:00"/>
    <x v="1"/>
    <n v="3227407"/>
    <n v="775"/>
    <x v="5"/>
    <x v="0"/>
    <n v="72"/>
    <n v="18078.25"/>
    <x v="0"/>
  </r>
  <r>
    <s v="HSBC100563"/>
    <s v="Aditya Singh"/>
    <n v="55"/>
    <x v="4"/>
    <x v="0"/>
    <x v="2"/>
    <d v="2026-01-08T00:00:00"/>
    <x v="1"/>
    <n v="1105656"/>
    <n v="828"/>
    <x v="1"/>
    <x v="2"/>
    <n v="119"/>
    <n v="11789.31"/>
    <x v="0"/>
  </r>
  <r>
    <s v="HSBC100564"/>
    <s v="Vikram Sharma"/>
    <n v="22"/>
    <x v="0"/>
    <x v="2"/>
    <x v="1"/>
    <d v="2025-01-08T00:00:00"/>
    <x v="4"/>
    <n v="3816568"/>
    <n v="791"/>
    <x v="3"/>
    <x v="3"/>
    <n v="34"/>
    <n v="5402.78"/>
    <x v="0"/>
  </r>
  <r>
    <s v="HSBC100565"/>
    <s v="Rahul Singh"/>
    <n v="60"/>
    <x v="9"/>
    <x v="1"/>
    <x v="2"/>
    <d v="2025-05-02T00:00:00"/>
    <x v="3"/>
    <n v="2042363"/>
    <n v="732"/>
    <x v="0"/>
    <x v="0"/>
    <n v="16"/>
    <n v="6441.44"/>
    <x v="0"/>
  </r>
  <r>
    <s v="HSBC100566"/>
    <s v="Karan Roy"/>
    <n v="43"/>
    <x v="10"/>
    <x v="3"/>
    <x v="1"/>
    <d v="2025-12-14T00:00:00"/>
    <x v="1"/>
    <n v="888922"/>
    <n v="737"/>
    <x v="1"/>
    <x v="3"/>
    <n v="105"/>
    <n v="3069.04"/>
    <x v="0"/>
  </r>
  <r>
    <s v="HSBC100567"/>
    <s v="Sneha Sharma"/>
    <n v="29"/>
    <x v="6"/>
    <x v="0"/>
    <x v="0"/>
    <d v="2025-03-31T00:00:00"/>
    <x v="0"/>
    <n v="1027867"/>
    <n v="718"/>
    <x v="3"/>
    <x v="4"/>
    <n v="13"/>
    <n v="2692.45"/>
    <x v="0"/>
  </r>
  <r>
    <s v="HSBC100568"/>
    <s v="Vivaan Khan"/>
    <n v="54"/>
    <x v="10"/>
    <x v="2"/>
    <x v="1"/>
    <d v="2025-11-12T00:00:00"/>
    <x v="2"/>
    <n v="4310861"/>
    <n v="800"/>
    <x v="7"/>
    <x v="4"/>
    <n v="87"/>
    <n v="6558.49"/>
    <x v="0"/>
  </r>
  <r>
    <s v="HSBC100569"/>
    <s v="Rohan Khan"/>
    <n v="66"/>
    <x v="10"/>
    <x v="0"/>
    <x v="1"/>
    <d v="2025-06-27T00:00:00"/>
    <x v="1"/>
    <n v="3316461"/>
    <n v="733"/>
    <x v="5"/>
    <x v="4"/>
    <n v="76"/>
    <n v="30089.32"/>
    <x v="0"/>
  </r>
  <r>
    <s v="HSBC100570"/>
    <s v="Vikram Gupta"/>
    <n v="34"/>
    <x v="6"/>
    <x v="2"/>
    <x v="1"/>
    <d v="2026-06-24T00:00:00"/>
    <x v="3"/>
    <n v="2752884"/>
    <n v="828"/>
    <x v="3"/>
    <x v="0"/>
    <n v="91"/>
    <n v="3023.37"/>
    <x v="0"/>
  </r>
  <r>
    <s v="HSBC100571"/>
    <s v="Vikram Das"/>
    <n v="24"/>
    <x v="4"/>
    <x v="1"/>
    <x v="2"/>
    <d v="2025-02-10T00:00:00"/>
    <x v="1"/>
    <n v="1952424"/>
    <n v="581"/>
    <x v="0"/>
    <x v="2"/>
    <n v="22"/>
    <n v="21551.24"/>
    <x v="0"/>
  </r>
  <r>
    <s v="HSBC100572"/>
    <s v="Aditya Gupta"/>
    <n v="50"/>
    <x v="11"/>
    <x v="2"/>
    <x v="1"/>
    <d v="2026-05-17T00:00:00"/>
    <x v="1"/>
    <n v="3551643"/>
    <n v="667"/>
    <x v="2"/>
    <x v="3"/>
    <n v="96"/>
    <n v="3870.42"/>
    <x v="0"/>
  </r>
  <r>
    <s v="HSBC100573"/>
    <s v="Ishita Iyer"/>
    <n v="51"/>
    <x v="6"/>
    <x v="1"/>
    <x v="1"/>
    <d v="2025-05-25T00:00:00"/>
    <x v="1"/>
    <n v="4425252"/>
    <n v="709"/>
    <x v="1"/>
    <x v="1"/>
    <n v="113"/>
    <n v="1372.06"/>
    <x v="0"/>
  </r>
  <r>
    <s v="HSBC100574"/>
    <s v="Aditya Gupta"/>
    <n v="58"/>
    <x v="2"/>
    <x v="2"/>
    <x v="2"/>
    <d v="2025-07-20T00:00:00"/>
    <x v="3"/>
    <n v="1435560"/>
    <n v="657"/>
    <x v="4"/>
    <x v="4"/>
    <n v="27"/>
    <n v="15897.7"/>
    <x v="0"/>
  </r>
  <r>
    <s v="HSBC100575"/>
    <s v="Rahul Das"/>
    <n v="31"/>
    <x v="2"/>
    <x v="3"/>
    <x v="1"/>
    <d v="2026-04-06T00:00:00"/>
    <x v="3"/>
    <n v="2010968"/>
    <n v="839"/>
    <x v="1"/>
    <x v="4"/>
    <n v="64"/>
    <n v="49523.69"/>
    <x v="0"/>
  </r>
  <r>
    <s v="HSBC100576"/>
    <s v="Ishita Das"/>
    <n v="55"/>
    <x v="7"/>
    <x v="1"/>
    <x v="3"/>
    <d v="2026-07-12T00:00:00"/>
    <x v="1"/>
    <n v="1196301"/>
    <n v="820"/>
    <x v="1"/>
    <x v="1"/>
    <n v="2"/>
    <n v="3646.34"/>
    <x v="0"/>
  </r>
  <r>
    <s v="HSBC100577"/>
    <s v="Rahul Sharma"/>
    <n v="28"/>
    <x v="8"/>
    <x v="1"/>
    <x v="3"/>
    <d v="2026-07-01T00:00:00"/>
    <x v="5"/>
    <n v="1117838"/>
    <n v="720"/>
    <x v="0"/>
    <x v="1"/>
    <n v="109"/>
    <n v="1722.68"/>
    <x v="0"/>
  </r>
  <r>
    <s v="HSBC100578"/>
    <s v="Aditya Das"/>
    <n v="23"/>
    <x v="5"/>
    <x v="2"/>
    <x v="2"/>
    <d v="2025-09-10T00:00:00"/>
    <x v="1"/>
    <n v="1307880"/>
    <n v="807"/>
    <x v="5"/>
    <x v="0"/>
    <n v="97"/>
    <n v="14438.6"/>
    <x v="0"/>
  </r>
  <r>
    <s v="HSBC100579"/>
    <s v="Varun Mehta"/>
    <n v="34"/>
    <x v="9"/>
    <x v="1"/>
    <x v="1"/>
    <d v="2026-01-25T00:00:00"/>
    <x v="2"/>
    <n v="3337714"/>
    <n v="742"/>
    <x v="1"/>
    <x v="3"/>
    <n v="26"/>
    <n v="3397.06"/>
    <x v="0"/>
  </r>
  <r>
    <s v="HSBC100580"/>
    <s v="Ishita Banerjee"/>
    <n v="33"/>
    <x v="3"/>
    <x v="2"/>
    <x v="0"/>
    <d v="2026-08-17T00:00:00"/>
    <x v="1"/>
    <n v="3728192"/>
    <n v="815"/>
    <x v="5"/>
    <x v="4"/>
    <n v="92"/>
    <n v="15732.42"/>
    <x v="0"/>
  </r>
  <r>
    <s v="HSBC100581"/>
    <s v="Arjun Sen"/>
    <n v="65"/>
    <x v="4"/>
    <x v="1"/>
    <x v="1"/>
    <d v="2025-09-13T00:00:00"/>
    <x v="4"/>
    <n v="1821853"/>
    <n v="707"/>
    <x v="3"/>
    <x v="2"/>
    <n v="83"/>
    <n v="30003.03"/>
    <x v="0"/>
  </r>
  <r>
    <s v="HSBC100582"/>
    <s v="Sneha Iyer"/>
    <n v="52"/>
    <x v="5"/>
    <x v="1"/>
    <x v="1"/>
    <d v="2026-03-26T00:00:00"/>
    <x v="1"/>
    <n v="718224"/>
    <n v="779"/>
    <x v="7"/>
    <x v="0"/>
    <n v="107"/>
    <n v="12671.98"/>
    <x v="0"/>
  </r>
  <r>
    <s v="HSBC100583"/>
    <s v="Kavya Singh"/>
    <n v="54"/>
    <x v="6"/>
    <x v="3"/>
    <x v="1"/>
    <d v="2025-01-10T00:00:00"/>
    <x v="1"/>
    <n v="3380576"/>
    <n v="610"/>
    <x v="4"/>
    <x v="0"/>
    <n v="69"/>
    <n v="20957.599999999999"/>
    <x v="0"/>
  </r>
  <r>
    <s v="HSBC100584"/>
    <s v="Meera Banerjee"/>
    <n v="65"/>
    <x v="8"/>
    <x v="0"/>
    <x v="3"/>
    <d v="2025-08-30T00:00:00"/>
    <x v="1"/>
    <n v="3490216"/>
    <n v="717"/>
    <x v="7"/>
    <x v="2"/>
    <n v="97"/>
    <n v="21108.75"/>
    <x v="0"/>
  </r>
  <r>
    <s v="HSBC100585"/>
    <s v="Meera Khan"/>
    <n v="39"/>
    <x v="3"/>
    <x v="2"/>
    <x v="1"/>
    <d v="2025-09-08T00:00:00"/>
    <x v="1"/>
    <n v="1557066"/>
    <n v="600"/>
    <x v="5"/>
    <x v="2"/>
    <n v="84"/>
    <n v="25322.38"/>
    <x v="0"/>
  </r>
  <r>
    <s v="HSBC100586"/>
    <s v="Sanjay Malhotra"/>
    <n v="58"/>
    <x v="9"/>
    <x v="1"/>
    <x v="2"/>
    <d v="2025-01-05T00:00:00"/>
    <x v="0"/>
    <n v="1035890"/>
    <n v="813"/>
    <x v="5"/>
    <x v="2"/>
    <n v="30"/>
    <n v="9390.66"/>
    <x v="0"/>
  </r>
  <r>
    <s v="HSBC100587"/>
    <s v="Ishita Mehta"/>
    <n v="36"/>
    <x v="9"/>
    <x v="0"/>
    <x v="0"/>
    <d v="2025-04-29T00:00:00"/>
    <x v="1"/>
    <n v="4337954"/>
    <n v="781"/>
    <x v="7"/>
    <x v="1"/>
    <n v="109"/>
    <n v="20292.98"/>
    <x v="0"/>
  </r>
  <r>
    <s v="HSBC100588"/>
    <s v="Varun Mondal"/>
    <n v="22"/>
    <x v="4"/>
    <x v="0"/>
    <x v="2"/>
    <d v="2026-01-09T00:00:00"/>
    <x v="1"/>
    <n v="1172229"/>
    <n v="710"/>
    <x v="1"/>
    <x v="4"/>
    <n v="8"/>
    <n v="10642.62"/>
    <x v="0"/>
  </r>
  <r>
    <s v="HSBC100589"/>
    <s v="Meera Nair"/>
    <n v="60"/>
    <x v="6"/>
    <x v="0"/>
    <x v="1"/>
    <d v="2025-03-06T00:00:00"/>
    <x v="1"/>
    <n v="3088109"/>
    <n v="727"/>
    <x v="6"/>
    <x v="1"/>
    <n v="38"/>
    <n v="13505.96"/>
    <x v="0"/>
  </r>
  <r>
    <s v="HSBC100590"/>
    <s v="Sneha Patel"/>
    <n v="37"/>
    <x v="5"/>
    <x v="0"/>
    <x v="3"/>
    <d v="2025-05-26T00:00:00"/>
    <x v="1"/>
    <n v="2853441"/>
    <n v="608"/>
    <x v="6"/>
    <x v="4"/>
    <n v="61"/>
    <n v="220642.03"/>
    <x v="0"/>
  </r>
  <r>
    <s v="HSBC100591"/>
    <s v="Nikhil Mehta"/>
    <n v="54"/>
    <x v="11"/>
    <x v="0"/>
    <x v="2"/>
    <d v="2025-08-12T00:00:00"/>
    <x v="1"/>
    <n v="448017"/>
    <n v="741"/>
    <x v="0"/>
    <x v="1"/>
    <n v="81"/>
    <n v="11541.22"/>
    <x v="0"/>
  </r>
  <r>
    <s v="HSBC100592"/>
    <s v="Rohan Roy"/>
    <n v="62"/>
    <x v="5"/>
    <x v="1"/>
    <x v="2"/>
    <d v="2025-08-27T00:00:00"/>
    <x v="1"/>
    <n v="3993757"/>
    <n v="640"/>
    <x v="4"/>
    <x v="3"/>
    <n v="108"/>
    <n v="1858.18"/>
    <x v="0"/>
  </r>
  <r>
    <s v="HSBC100593"/>
    <s v="Vikram Mehta"/>
    <n v="36"/>
    <x v="5"/>
    <x v="1"/>
    <x v="1"/>
    <d v="2025-06-26T00:00:00"/>
    <x v="2"/>
    <n v="3118921"/>
    <n v="704"/>
    <x v="2"/>
    <x v="4"/>
    <n v="65"/>
    <n v="7278.72"/>
    <x v="0"/>
  </r>
  <r>
    <s v="HSBC100594"/>
    <s v="Ishita Sharma"/>
    <n v="58"/>
    <x v="9"/>
    <x v="2"/>
    <x v="2"/>
    <d v="2025-10-09T00:00:00"/>
    <x v="2"/>
    <n v="3253225"/>
    <n v="650"/>
    <x v="7"/>
    <x v="0"/>
    <n v="67"/>
    <n v="6463.64"/>
    <x v="1"/>
  </r>
  <r>
    <s v="HSBC100595"/>
    <s v="Varun Gupta"/>
    <n v="22"/>
    <x v="11"/>
    <x v="1"/>
    <x v="1"/>
    <d v="2025-03-04T00:00:00"/>
    <x v="1"/>
    <n v="2579518"/>
    <n v="822"/>
    <x v="7"/>
    <x v="4"/>
    <n v="46"/>
    <n v="6781.59"/>
    <x v="1"/>
  </r>
  <r>
    <s v="HSBC100596"/>
    <s v="Amit Mehta"/>
    <n v="22"/>
    <x v="11"/>
    <x v="0"/>
    <x v="1"/>
    <d v="2025-08-05T00:00:00"/>
    <x v="1"/>
    <n v="4478316"/>
    <n v="828"/>
    <x v="0"/>
    <x v="4"/>
    <n v="90"/>
    <n v="24370.16"/>
    <x v="0"/>
  </r>
  <r>
    <s v="HSBC100597"/>
    <s v="Karan Malhotra"/>
    <n v="46"/>
    <x v="4"/>
    <x v="1"/>
    <x v="1"/>
    <d v="2026-04-06T00:00:00"/>
    <x v="0"/>
    <n v="916775"/>
    <n v="800"/>
    <x v="4"/>
    <x v="4"/>
    <n v="95"/>
    <n v="29352.15"/>
    <x v="1"/>
  </r>
  <r>
    <s v="HSBC100598"/>
    <s v="Aarav Sen"/>
    <n v="33"/>
    <x v="3"/>
    <x v="0"/>
    <x v="0"/>
    <d v="2025-04-15T00:00:00"/>
    <x v="1"/>
    <n v="3828478"/>
    <n v="600"/>
    <x v="6"/>
    <x v="3"/>
    <n v="72"/>
    <n v="8015.1"/>
    <x v="0"/>
  </r>
  <r>
    <s v="HSBC100599"/>
    <s v="Meera Khan"/>
    <n v="67"/>
    <x v="1"/>
    <x v="2"/>
    <x v="1"/>
    <d v="2025-04-09T00:00:00"/>
    <x v="1"/>
    <n v="704529"/>
    <n v="661"/>
    <x v="3"/>
    <x v="1"/>
    <n v="43"/>
    <n v="2076.69"/>
    <x v="0"/>
  </r>
  <r>
    <s v="HSBC100600"/>
    <s v="Rahul Roy"/>
    <n v="51"/>
    <x v="10"/>
    <x v="1"/>
    <x v="1"/>
    <d v="2026-05-26T00:00:00"/>
    <x v="1"/>
    <n v="2594218"/>
    <n v="589"/>
    <x v="1"/>
    <x v="0"/>
    <n v="59"/>
    <n v="9937.2999999999993"/>
    <x v="0"/>
  </r>
  <r>
    <s v="HSBC100601"/>
    <s v="Vivaan Iyer"/>
    <n v="54"/>
    <x v="10"/>
    <x v="1"/>
    <x v="2"/>
    <d v="2026-01-20T00:00:00"/>
    <x v="1"/>
    <n v="3111129"/>
    <n v="591"/>
    <x v="1"/>
    <x v="1"/>
    <n v="46"/>
    <n v="5061.62"/>
    <x v="0"/>
  </r>
  <r>
    <s v="HSBC100602"/>
    <s v="Pooja Roy"/>
    <n v="59"/>
    <x v="9"/>
    <x v="1"/>
    <x v="0"/>
    <d v="2026-02-09T00:00:00"/>
    <x v="4"/>
    <n v="1361766"/>
    <n v="842"/>
    <x v="3"/>
    <x v="1"/>
    <n v="72"/>
    <n v="11169.31"/>
    <x v="0"/>
  </r>
  <r>
    <s v="HSBC100603"/>
    <s v="Aarav Patel"/>
    <n v="23"/>
    <x v="1"/>
    <x v="0"/>
    <x v="1"/>
    <d v="2026-06-02T00:00:00"/>
    <x v="1"/>
    <n v="3671147"/>
    <n v="724"/>
    <x v="3"/>
    <x v="2"/>
    <n v="35"/>
    <n v="7887.15"/>
    <x v="0"/>
  </r>
  <r>
    <s v="HSBC100604"/>
    <s v="Amit Iyer"/>
    <n v="28"/>
    <x v="3"/>
    <x v="2"/>
    <x v="2"/>
    <d v="2026-04-21T00:00:00"/>
    <x v="4"/>
    <n v="789203"/>
    <n v="771"/>
    <x v="4"/>
    <x v="3"/>
    <n v="39"/>
    <n v="32118.12"/>
    <x v="0"/>
  </r>
  <r>
    <s v="HSBC100605"/>
    <s v="Vivaan Singh"/>
    <n v="43"/>
    <x v="1"/>
    <x v="1"/>
    <x v="1"/>
    <d v="2026-03-13T00:00:00"/>
    <x v="1"/>
    <n v="1561629"/>
    <n v="829"/>
    <x v="6"/>
    <x v="2"/>
    <n v="92"/>
    <n v="11950.74"/>
    <x v="0"/>
  </r>
  <r>
    <s v="HSBC100606"/>
    <s v="Vivaan Chatterjee"/>
    <n v="34"/>
    <x v="4"/>
    <x v="2"/>
    <x v="1"/>
    <d v="2025-01-23T00:00:00"/>
    <x v="1"/>
    <n v="1150542"/>
    <n v="693"/>
    <x v="0"/>
    <x v="3"/>
    <n v="51"/>
    <n v="5078.6400000000003"/>
    <x v="0"/>
  </r>
  <r>
    <s v="HSBC100607"/>
    <s v="Neha Sharma"/>
    <n v="47"/>
    <x v="5"/>
    <x v="1"/>
    <x v="1"/>
    <d v="2026-07-19T00:00:00"/>
    <x v="4"/>
    <n v="3461636"/>
    <n v="605"/>
    <x v="3"/>
    <x v="1"/>
    <n v="4"/>
    <n v="2090.5700000000002"/>
    <x v="0"/>
  </r>
  <r>
    <s v="HSBC100608"/>
    <s v="Ananya Mondal"/>
    <n v="49"/>
    <x v="9"/>
    <x v="1"/>
    <x v="0"/>
    <d v="2026-04-03T00:00:00"/>
    <x v="1"/>
    <n v="4204780"/>
    <n v="850"/>
    <x v="0"/>
    <x v="1"/>
    <n v="80"/>
    <n v="8515"/>
    <x v="0"/>
  </r>
  <r>
    <s v="HSBC100609"/>
    <s v="Varun Nair"/>
    <n v="59"/>
    <x v="11"/>
    <x v="3"/>
    <x v="1"/>
    <d v="2025-03-24T00:00:00"/>
    <x v="2"/>
    <n v="4478416"/>
    <n v="612"/>
    <x v="4"/>
    <x v="3"/>
    <n v="77"/>
    <n v="8547.0400000000009"/>
    <x v="0"/>
  </r>
  <r>
    <s v="HSBC100610"/>
    <s v="Arjun Das"/>
    <n v="59"/>
    <x v="2"/>
    <x v="1"/>
    <x v="1"/>
    <d v="2025-05-25T00:00:00"/>
    <x v="1"/>
    <n v="3195759"/>
    <n v="641"/>
    <x v="2"/>
    <x v="1"/>
    <n v="84"/>
    <n v="6798.22"/>
    <x v="0"/>
  </r>
  <r>
    <s v="HSBC100611"/>
    <s v="Rahul Mondal"/>
    <n v="21"/>
    <x v="9"/>
    <x v="1"/>
    <x v="1"/>
    <d v="2025-03-26T00:00:00"/>
    <x v="4"/>
    <n v="544768"/>
    <n v="808"/>
    <x v="5"/>
    <x v="1"/>
    <n v="51"/>
    <n v="20213.18"/>
    <x v="0"/>
  </r>
  <r>
    <s v="HSBC100612"/>
    <s v="Ananya Verma"/>
    <n v="37"/>
    <x v="10"/>
    <x v="1"/>
    <x v="0"/>
    <d v="2025-03-19T00:00:00"/>
    <x v="1"/>
    <n v="3602921"/>
    <n v="674"/>
    <x v="1"/>
    <x v="0"/>
    <n v="5"/>
    <n v="2096.62"/>
    <x v="0"/>
  </r>
  <r>
    <s v="HSBC100613"/>
    <s v="Rohan Roy"/>
    <n v="61"/>
    <x v="3"/>
    <x v="1"/>
    <x v="1"/>
    <d v="2026-04-02T00:00:00"/>
    <x v="3"/>
    <n v="311264"/>
    <n v="614"/>
    <x v="6"/>
    <x v="2"/>
    <n v="55"/>
    <n v="4021.17"/>
    <x v="0"/>
  </r>
  <r>
    <s v="HSBC100614"/>
    <s v="Priya Khan"/>
    <n v="50"/>
    <x v="1"/>
    <x v="1"/>
    <x v="1"/>
    <d v="2025-01-01T00:00:00"/>
    <x v="1"/>
    <n v="2709507"/>
    <n v="772"/>
    <x v="1"/>
    <x v="2"/>
    <n v="101"/>
    <n v="9466.9599999999991"/>
    <x v="0"/>
  </r>
  <r>
    <s v="HSBC100615"/>
    <s v="Kavya Sharma"/>
    <n v="33"/>
    <x v="3"/>
    <x v="1"/>
    <x v="1"/>
    <d v="2025-02-20T00:00:00"/>
    <x v="3"/>
    <n v="3702097"/>
    <n v="655"/>
    <x v="6"/>
    <x v="2"/>
    <n v="20"/>
    <n v="4976.67"/>
    <x v="0"/>
  </r>
  <r>
    <s v="HSBC100616"/>
    <s v="Priya Gupta"/>
    <n v="41"/>
    <x v="4"/>
    <x v="0"/>
    <x v="1"/>
    <d v="2026-03-22T00:00:00"/>
    <x v="1"/>
    <n v="3601191"/>
    <n v="828"/>
    <x v="4"/>
    <x v="4"/>
    <n v="24"/>
    <n v="6157.68"/>
    <x v="0"/>
  </r>
  <r>
    <s v="HSBC100617"/>
    <s v="Amit Iyer"/>
    <n v="39"/>
    <x v="9"/>
    <x v="1"/>
    <x v="2"/>
    <d v="2026-03-25T00:00:00"/>
    <x v="4"/>
    <n v="1468284"/>
    <n v="662"/>
    <x v="5"/>
    <x v="0"/>
    <n v="36"/>
    <n v="8406.2900000000009"/>
    <x v="0"/>
  </r>
  <r>
    <s v="HSBC100618"/>
    <s v="Aditya Nair"/>
    <n v="39"/>
    <x v="6"/>
    <x v="0"/>
    <x v="2"/>
    <d v="2026-05-03T00:00:00"/>
    <x v="1"/>
    <n v="3330202"/>
    <n v="604"/>
    <x v="1"/>
    <x v="2"/>
    <n v="34"/>
    <n v="18402.89"/>
    <x v="0"/>
  </r>
  <r>
    <s v="HSBC100619"/>
    <s v="Priya Nair"/>
    <n v="45"/>
    <x v="9"/>
    <x v="1"/>
    <x v="1"/>
    <d v="2025-02-03T00:00:00"/>
    <x v="3"/>
    <n v="3971993"/>
    <n v="636"/>
    <x v="5"/>
    <x v="2"/>
    <n v="109"/>
    <n v="8057.81"/>
    <x v="0"/>
  </r>
  <r>
    <s v="HSBC100620"/>
    <s v="Pooja Gupta"/>
    <n v="42"/>
    <x v="11"/>
    <x v="1"/>
    <x v="1"/>
    <d v="2025-12-14T00:00:00"/>
    <x v="1"/>
    <n v="2198058"/>
    <n v="611"/>
    <x v="4"/>
    <x v="0"/>
    <n v="112"/>
    <n v="1132.0999999999999"/>
    <x v="0"/>
  </r>
  <r>
    <s v="HSBC100621"/>
    <s v="Aditya Malhotra"/>
    <n v="51"/>
    <x v="9"/>
    <x v="0"/>
    <x v="1"/>
    <d v="2025-04-05T00:00:00"/>
    <x v="5"/>
    <n v="872207"/>
    <n v="591"/>
    <x v="6"/>
    <x v="1"/>
    <n v="54"/>
    <n v="4755.53"/>
    <x v="0"/>
  </r>
  <r>
    <s v="HSBC100622"/>
    <s v="Karan Roy"/>
    <n v="37"/>
    <x v="8"/>
    <x v="3"/>
    <x v="1"/>
    <d v="2025-03-13T00:00:00"/>
    <x v="1"/>
    <n v="892064"/>
    <n v="671"/>
    <x v="3"/>
    <x v="2"/>
    <n v="34"/>
    <n v="15071.69"/>
    <x v="0"/>
  </r>
  <r>
    <s v="HSBC100623"/>
    <s v="Pooja Singh"/>
    <n v="43"/>
    <x v="4"/>
    <x v="1"/>
    <x v="1"/>
    <d v="2026-07-05T00:00:00"/>
    <x v="1"/>
    <n v="1115630"/>
    <n v="580"/>
    <x v="2"/>
    <x v="1"/>
    <n v="83"/>
    <n v="19946.47"/>
    <x v="0"/>
  </r>
  <r>
    <s v="HSBC100624"/>
    <s v="Kavya Sen"/>
    <n v="52"/>
    <x v="0"/>
    <x v="2"/>
    <x v="0"/>
    <d v="2025-06-03T00:00:00"/>
    <x v="1"/>
    <n v="3196878"/>
    <n v="715"/>
    <x v="1"/>
    <x v="2"/>
    <n v="17"/>
    <n v="21136.38"/>
    <x v="0"/>
  </r>
  <r>
    <s v="HSBC100625"/>
    <s v="Aditya Das"/>
    <n v="30"/>
    <x v="4"/>
    <x v="0"/>
    <x v="3"/>
    <d v="2025-09-07T00:00:00"/>
    <x v="0"/>
    <n v="2235500"/>
    <n v="775"/>
    <x v="5"/>
    <x v="3"/>
    <n v="5"/>
    <n v="28459.48"/>
    <x v="0"/>
  </r>
  <r>
    <s v="HSBC100626"/>
    <s v="Vivaan Mondal"/>
    <n v="30"/>
    <x v="1"/>
    <x v="0"/>
    <x v="3"/>
    <d v="2026-03-14T00:00:00"/>
    <x v="0"/>
    <n v="3222881"/>
    <n v="712"/>
    <x v="7"/>
    <x v="4"/>
    <n v="89"/>
    <n v="10141.17"/>
    <x v="0"/>
  </r>
  <r>
    <s v="HSBC100627"/>
    <s v="Amit Nair"/>
    <n v="56"/>
    <x v="2"/>
    <x v="1"/>
    <x v="0"/>
    <d v="2025-04-28T00:00:00"/>
    <x v="1"/>
    <n v="1559989"/>
    <n v="665"/>
    <x v="1"/>
    <x v="2"/>
    <n v="18"/>
    <n v="11805.53"/>
    <x v="0"/>
  </r>
  <r>
    <s v="HSBC100628"/>
    <s v="Varun Das"/>
    <n v="28"/>
    <x v="0"/>
    <x v="1"/>
    <x v="2"/>
    <d v="2025-11-02T00:00:00"/>
    <x v="3"/>
    <n v="418678"/>
    <n v="759"/>
    <x v="1"/>
    <x v="3"/>
    <n v="55"/>
    <n v="3088.36"/>
    <x v="0"/>
  </r>
  <r>
    <s v="HSBC100629"/>
    <s v="Priya Singh"/>
    <n v="40"/>
    <x v="1"/>
    <x v="1"/>
    <x v="0"/>
    <d v="2025-09-25T00:00:00"/>
    <x v="2"/>
    <n v="4300501"/>
    <n v="583"/>
    <x v="1"/>
    <x v="0"/>
    <n v="53"/>
    <n v="912.96"/>
    <x v="0"/>
  </r>
  <r>
    <s v="HSBC100630"/>
    <s v="Vivaan Singh"/>
    <n v="52"/>
    <x v="1"/>
    <x v="0"/>
    <x v="1"/>
    <d v="2025-02-23T00:00:00"/>
    <x v="1"/>
    <n v="1225924"/>
    <n v="705"/>
    <x v="0"/>
    <x v="3"/>
    <n v="50"/>
    <n v="2021.39"/>
    <x v="0"/>
  </r>
  <r>
    <s v="HSBC100631"/>
    <s v="Aarav Roy"/>
    <n v="70"/>
    <x v="11"/>
    <x v="1"/>
    <x v="2"/>
    <d v="2025-08-24T00:00:00"/>
    <x v="4"/>
    <n v="1053789"/>
    <n v="754"/>
    <x v="5"/>
    <x v="0"/>
    <n v="72"/>
    <n v="4285.83"/>
    <x v="0"/>
  </r>
  <r>
    <s v="HSBC100632"/>
    <s v="Pooja Sharma"/>
    <n v="34"/>
    <x v="11"/>
    <x v="2"/>
    <x v="1"/>
    <d v="2026-01-24T00:00:00"/>
    <x v="2"/>
    <n v="420923"/>
    <n v="830"/>
    <x v="5"/>
    <x v="2"/>
    <n v="91"/>
    <n v="2148.04"/>
    <x v="1"/>
  </r>
  <r>
    <s v="HSBC100633"/>
    <s v="Pooja Malhotra"/>
    <n v="70"/>
    <x v="7"/>
    <x v="1"/>
    <x v="2"/>
    <d v="2026-02-05T00:00:00"/>
    <x v="0"/>
    <n v="550406"/>
    <n v="600"/>
    <x v="1"/>
    <x v="0"/>
    <n v="79"/>
    <n v="6584.19"/>
    <x v="0"/>
  </r>
  <r>
    <s v="HSBC100634"/>
    <s v="Pooja Iyer"/>
    <n v="48"/>
    <x v="5"/>
    <x v="1"/>
    <x v="0"/>
    <d v="2025-10-30T00:00:00"/>
    <x v="1"/>
    <n v="767961"/>
    <n v="684"/>
    <x v="4"/>
    <x v="3"/>
    <n v="45"/>
    <n v="5512.69"/>
    <x v="0"/>
  </r>
  <r>
    <s v="HSBC100635"/>
    <s v="Varun Mondal"/>
    <n v="66"/>
    <x v="10"/>
    <x v="2"/>
    <x v="1"/>
    <d v="2025-07-26T00:00:00"/>
    <x v="2"/>
    <n v="1285598"/>
    <n v="645"/>
    <x v="4"/>
    <x v="4"/>
    <n v="13"/>
    <n v="23973.84"/>
    <x v="0"/>
  </r>
  <r>
    <s v="HSBC100636"/>
    <s v="Aditya Singh"/>
    <n v="44"/>
    <x v="5"/>
    <x v="1"/>
    <x v="1"/>
    <d v="2025-08-17T00:00:00"/>
    <x v="1"/>
    <n v="2761902"/>
    <n v="842"/>
    <x v="3"/>
    <x v="1"/>
    <n v="16"/>
    <n v="3237.01"/>
    <x v="0"/>
  </r>
  <r>
    <s v="HSBC100637"/>
    <s v="Rahul Singh"/>
    <n v="35"/>
    <x v="5"/>
    <x v="0"/>
    <x v="3"/>
    <d v="2026-08-01T00:00:00"/>
    <x v="1"/>
    <n v="3890377"/>
    <n v="628"/>
    <x v="1"/>
    <x v="1"/>
    <n v="86"/>
    <n v="10379.74"/>
    <x v="1"/>
  </r>
  <r>
    <s v="HSBC100638"/>
    <s v="Sneha Sen"/>
    <n v="42"/>
    <x v="2"/>
    <x v="0"/>
    <x v="1"/>
    <d v="2025-03-16T00:00:00"/>
    <x v="1"/>
    <n v="413944"/>
    <n v="595"/>
    <x v="0"/>
    <x v="4"/>
    <n v="84"/>
    <n v="5763.18"/>
    <x v="0"/>
  </r>
  <r>
    <s v="HSBC100639"/>
    <s v="Vivaan Mehta"/>
    <n v="50"/>
    <x v="10"/>
    <x v="2"/>
    <x v="2"/>
    <d v="2026-03-11T00:00:00"/>
    <x v="0"/>
    <n v="2846105"/>
    <n v="724"/>
    <x v="6"/>
    <x v="1"/>
    <n v="13"/>
    <n v="3112.22"/>
    <x v="0"/>
  </r>
  <r>
    <s v="HSBC100640"/>
    <s v="Vivaan Roy"/>
    <n v="24"/>
    <x v="6"/>
    <x v="2"/>
    <x v="3"/>
    <d v="2025-04-13T00:00:00"/>
    <x v="4"/>
    <n v="3272345"/>
    <n v="829"/>
    <x v="0"/>
    <x v="2"/>
    <n v="20"/>
    <n v="4170.97"/>
    <x v="0"/>
  </r>
  <r>
    <s v="HSBC100641"/>
    <s v="Kavya Roy"/>
    <n v="33"/>
    <x v="0"/>
    <x v="0"/>
    <x v="2"/>
    <d v="2026-02-26T00:00:00"/>
    <x v="4"/>
    <n v="2940543"/>
    <n v="654"/>
    <x v="4"/>
    <x v="2"/>
    <n v="66"/>
    <n v="1039.17"/>
    <x v="0"/>
  </r>
  <r>
    <s v="HSBC100642"/>
    <s v="Sneha Khan"/>
    <n v="43"/>
    <x v="3"/>
    <x v="0"/>
    <x v="2"/>
    <d v="2025-11-02T00:00:00"/>
    <x v="1"/>
    <n v="3219852"/>
    <n v="645"/>
    <x v="3"/>
    <x v="3"/>
    <n v="99"/>
    <n v="19648.66"/>
    <x v="0"/>
  </r>
  <r>
    <s v="HSBC100643"/>
    <s v="Ishita Malhotra"/>
    <n v="28"/>
    <x v="5"/>
    <x v="3"/>
    <x v="1"/>
    <d v="2025-04-08T00:00:00"/>
    <x v="1"/>
    <n v="1608454"/>
    <n v="704"/>
    <x v="4"/>
    <x v="3"/>
    <n v="47"/>
    <n v="39041.26"/>
    <x v="0"/>
  </r>
  <r>
    <s v="HSBC100644"/>
    <s v="Sneha Verma"/>
    <n v="38"/>
    <x v="2"/>
    <x v="1"/>
    <x v="1"/>
    <d v="2025-12-01T00:00:00"/>
    <x v="1"/>
    <n v="4121018"/>
    <n v="666"/>
    <x v="4"/>
    <x v="0"/>
    <n v="119"/>
    <n v="6762.59"/>
    <x v="0"/>
  </r>
  <r>
    <s v="HSBC100645"/>
    <s v="Pooja Roy"/>
    <n v="32"/>
    <x v="7"/>
    <x v="1"/>
    <x v="0"/>
    <d v="2026-03-11T00:00:00"/>
    <x v="1"/>
    <n v="1320804"/>
    <n v="620"/>
    <x v="4"/>
    <x v="3"/>
    <n v="19"/>
    <n v="9232.7800000000007"/>
    <x v="0"/>
  </r>
  <r>
    <s v="HSBC100646"/>
    <s v="Amit Iyer"/>
    <n v="51"/>
    <x v="9"/>
    <x v="1"/>
    <x v="2"/>
    <d v="2026-03-23T00:00:00"/>
    <x v="1"/>
    <n v="2687220"/>
    <n v="765"/>
    <x v="1"/>
    <x v="2"/>
    <n v="45"/>
    <n v="6563.96"/>
    <x v="0"/>
  </r>
  <r>
    <s v="HSBC100647"/>
    <s v="Rahul Malhotra"/>
    <n v="34"/>
    <x v="9"/>
    <x v="1"/>
    <x v="2"/>
    <d v="2025-11-04T00:00:00"/>
    <x v="4"/>
    <n v="2353627"/>
    <n v="845"/>
    <x v="4"/>
    <x v="3"/>
    <n v="37"/>
    <n v="3785.39"/>
    <x v="1"/>
  </r>
  <r>
    <s v="HSBC100648"/>
    <s v="Ananya Nair"/>
    <n v="54"/>
    <x v="1"/>
    <x v="0"/>
    <x v="1"/>
    <d v="2025-09-06T00:00:00"/>
    <x v="2"/>
    <n v="3348350"/>
    <n v="850"/>
    <x v="5"/>
    <x v="1"/>
    <n v="54"/>
    <n v="18772.490000000002"/>
    <x v="0"/>
  </r>
  <r>
    <s v="HSBC100649"/>
    <s v="Vivaan Khan"/>
    <n v="38"/>
    <x v="10"/>
    <x v="0"/>
    <x v="1"/>
    <d v="2025-06-15T00:00:00"/>
    <x v="1"/>
    <n v="3827643"/>
    <n v="621"/>
    <x v="2"/>
    <x v="0"/>
    <n v="6"/>
    <n v="12519.24"/>
    <x v="0"/>
  </r>
  <r>
    <s v="HSBC100650"/>
    <s v="Nikhil Verma"/>
    <n v="54"/>
    <x v="1"/>
    <x v="0"/>
    <x v="3"/>
    <d v="2026-04-26T00:00:00"/>
    <x v="1"/>
    <n v="2639911"/>
    <n v="672"/>
    <x v="7"/>
    <x v="0"/>
    <n v="14"/>
    <n v="500"/>
    <x v="0"/>
  </r>
  <r>
    <s v="HSBC100651"/>
    <s v="Nikhil Sen"/>
    <n v="31"/>
    <x v="2"/>
    <x v="1"/>
    <x v="1"/>
    <d v="2025-12-01T00:00:00"/>
    <x v="1"/>
    <n v="1976681"/>
    <n v="764"/>
    <x v="1"/>
    <x v="2"/>
    <n v="4"/>
    <n v="3021.95"/>
    <x v="0"/>
  </r>
  <r>
    <s v="HSBC100652"/>
    <s v="Nikhil Das"/>
    <n v="61"/>
    <x v="8"/>
    <x v="2"/>
    <x v="2"/>
    <d v="2026-06-26T00:00:00"/>
    <x v="1"/>
    <n v="367408"/>
    <n v="794"/>
    <x v="3"/>
    <x v="3"/>
    <n v="86"/>
    <n v="1037.21"/>
    <x v="0"/>
  </r>
  <r>
    <s v="HSBC100653"/>
    <s v="Priya Singh"/>
    <n v="32"/>
    <x v="8"/>
    <x v="1"/>
    <x v="1"/>
    <d v="2025-04-16T00:00:00"/>
    <x v="3"/>
    <n v="886431"/>
    <n v="596"/>
    <x v="5"/>
    <x v="1"/>
    <n v="115"/>
    <n v="45852.5"/>
    <x v="0"/>
  </r>
  <r>
    <s v="HSBC100654"/>
    <s v="Vivaan Nair"/>
    <n v="69"/>
    <x v="7"/>
    <x v="0"/>
    <x v="0"/>
    <d v="2026-07-17T00:00:00"/>
    <x v="2"/>
    <n v="3685504"/>
    <n v="844"/>
    <x v="0"/>
    <x v="3"/>
    <n v="55"/>
    <n v="7476.95"/>
    <x v="0"/>
  </r>
  <r>
    <s v="HSBC100655"/>
    <s v="Ananya Das"/>
    <n v="35"/>
    <x v="3"/>
    <x v="0"/>
    <x v="3"/>
    <d v="2025-03-22T00:00:00"/>
    <x v="4"/>
    <n v="1049288"/>
    <n v="693"/>
    <x v="4"/>
    <x v="4"/>
    <n v="103"/>
    <n v="11530.33"/>
    <x v="0"/>
  </r>
  <r>
    <s v="HSBC100656"/>
    <s v="Kavya Singh"/>
    <n v="51"/>
    <x v="11"/>
    <x v="1"/>
    <x v="2"/>
    <d v="2025-05-13T00:00:00"/>
    <x v="1"/>
    <n v="1486541"/>
    <n v="627"/>
    <x v="6"/>
    <x v="3"/>
    <n v="100"/>
    <n v="6179.79"/>
    <x v="0"/>
  </r>
  <r>
    <s v="HSBC100657"/>
    <s v="Nikhil Singh"/>
    <n v="69"/>
    <x v="11"/>
    <x v="1"/>
    <x v="1"/>
    <d v="2025-05-18T00:00:00"/>
    <x v="1"/>
    <n v="2286721"/>
    <n v="676"/>
    <x v="6"/>
    <x v="2"/>
    <n v="34"/>
    <n v="28504.91"/>
    <x v="0"/>
  </r>
  <r>
    <s v="HSBC100658"/>
    <s v="Aditya Sen"/>
    <n v="49"/>
    <x v="10"/>
    <x v="1"/>
    <x v="2"/>
    <d v="2025-07-03T00:00:00"/>
    <x v="1"/>
    <n v="1890913"/>
    <n v="674"/>
    <x v="2"/>
    <x v="3"/>
    <n v="27"/>
    <n v="22109.01"/>
    <x v="0"/>
  </r>
  <r>
    <s v="HSBC100659"/>
    <s v="Neha Khan"/>
    <n v="46"/>
    <x v="10"/>
    <x v="2"/>
    <x v="0"/>
    <d v="2026-02-05T00:00:00"/>
    <x v="3"/>
    <n v="567798"/>
    <n v="653"/>
    <x v="1"/>
    <x v="0"/>
    <n v="7"/>
    <n v="7141.99"/>
    <x v="0"/>
  </r>
  <r>
    <s v="HSBC100660"/>
    <s v="Pooja Mondal"/>
    <n v="38"/>
    <x v="5"/>
    <x v="2"/>
    <x v="1"/>
    <d v="2025-11-26T00:00:00"/>
    <x v="4"/>
    <n v="1501222"/>
    <n v="647"/>
    <x v="0"/>
    <x v="1"/>
    <n v="3"/>
    <n v="54387.67"/>
    <x v="0"/>
  </r>
  <r>
    <s v="HSBC100661"/>
    <s v="Karan Malhotra"/>
    <n v="52"/>
    <x v="8"/>
    <x v="0"/>
    <x v="0"/>
    <d v="2026-05-23T00:00:00"/>
    <x v="1"/>
    <n v="740783"/>
    <n v="825"/>
    <x v="2"/>
    <x v="2"/>
    <n v="47"/>
    <n v="10878.94"/>
    <x v="0"/>
  </r>
  <r>
    <s v="HSBC100662"/>
    <s v="Meera Khan"/>
    <n v="42"/>
    <x v="5"/>
    <x v="1"/>
    <x v="2"/>
    <d v="2025-03-10T00:00:00"/>
    <x v="1"/>
    <n v="1357177"/>
    <n v="656"/>
    <x v="7"/>
    <x v="4"/>
    <n v="97"/>
    <n v="1933.08"/>
    <x v="0"/>
  </r>
  <r>
    <s v="HSBC100663"/>
    <s v="Aarav Roy"/>
    <n v="58"/>
    <x v="11"/>
    <x v="1"/>
    <x v="3"/>
    <d v="2026-06-30T00:00:00"/>
    <x v="1"/>
    <n v="1036796"/>
    <n v="787"/>
    <x v="7"/>
    <x v="1"/>
    <n v="2"/>
    <n v="9946.93"/>
    <x v="0"/>
  </r>
  <r>
    <s v="HSBC100664"/>
    <s v="Arjun Patel"/>
    <n v="37"/>
    <x v="0"/>
    <x v="2"/>
    <x v="2"/>
    <d v="2025-02-22T00:00:00"/>
    <x v="2"/>
    <n v="3744585"/>
    <n v="833"/>
    <x v="2"/>
    <x v="1"/>
    <n v="106"/>
    <n v="15418.34"/>
    <x v="0"/>
  </r>
  <r>
    <s v="HSBC100665"/>
    <s v="Vikram Sharma"/>
    <n v="43"/>
    <x v="0"/>
    <x v="2"/>
    <x v="1"/>
    <d v="2026-03-26T00:00:00"/>
    <x v="0"/>
    <n v="2242834"/>
    <n v="800"/>
    <x v="3"/>
    <x v="0"/>
    <n v="80"/>
    <n v="7786.25"/>
    <x v="0"/>
  </r>
  <r>
    <s v="HSBC100666"/>
    <s v="Rohan Patel"/>
    <n v="44"/>
    <x v="10"/>
    <x v="1"/>
    <x v="1"/>
    <d v="2025-07-24T00:00:00"/>
    <x v="2"/>
    <n v="4373412"/>
    <n v="841"/>
    <x v="6"/>
    <x v="0"/>
    <n v="25"/>
    <n v="5813.53"/>
    <x v="0"/>
  </r>
  <r>
    <s v="HSBC100667"/>
    <s v="Varun Iyer"/>
    <n v="70"/>
    <x v="1"/>
    <x v="1"/>
    <x v="1"/>
    <d v="2025-05-06T00:00:00"/>
    <x v="2"/>
    <n v="4169736"/>
    <n v="838"/>
    <x v="0"/>
    <x v="0"/>
    <n v="60"/>
    <n v="57101.14"/>
    <x v="0"/>
  </r>
  <r>
    <s v="HSBC100668"/>
    <s v="Varun Roy"/>
    <n v="28"/>
    <x v="11"/>
    <x v="2"/>
    <x v="3"/>
    <d v="2025-02-12T00:00:00"/>
    <x v="1"/>
    <n v="2723055"/>
    <n v="653"/>
    <x v="1"/>
    <x v="2"/>
    <n v="79"/>
    <n v="2578.19"/>
    <x v="0"/>
  </r>
  <r>
    <s v="HSBC100669"/>
    <s v="Rahul Patel"/>
    <n v="61"/>
    <x v="0"/>
    <x v="1"/>
    <x v="0"/>
    <d v="2025-04-21T00:00:00"/>
    <x v="1"/>
    <n v="1577877"/>
    <n v="704"/>
    <x v="4"/>
    <x v="3"/>
    <n v="24"/>
    <n v="500"/>
    <x v="0"/>
  </r>
  <r>
    <s v="HSBC100670"/>
    <s v="Amit Verma"/>
    <n v="26"/>
    <x v="11"/>
    <x v="1"/>
    <x v="0"/>
    <d v="2025-07-02T00:00:00"/>
    <x v="1"/>
    <n v="4426852"/>
    <n v="767"/>
    <x v="5"/>
    <x v="5"/>
    <n v="15"/>
    <n v="49021.13"/>
    <x v="0"/>
  </r>
  <r>
    <s v="HSBC100671"/>
    <s v="Rohan Roy"/>
    <n v="25"/>
    <x v="4"/>
    <x v="1"/>
    <x v="1"/>
    <d v="2025-04-05T00:00:00"/>
    <x v="1"/>
    <n v="2937328"/>
    <n v="833"/>
    <x v="1"/>
    <x v="3"/>
    <n v="95"/>
    <n v="2471.67"/>
    <x v="1"/>
  </r>
  <r>
    <s v="HSBC100672"/>
    <s v="Aditya Patel"/>
    <n v="64"/>
    <x v="9"/>
    <x v="0"/>
    <x v="1"/>
    <d v="2026-01-09T00:00:00"/>
    <x v="4"/>
    <n v="2149955"/>
    <n v="814"/>
    <x v="1"/>
    <x v="3"/>
    <n v="14"/>
    <n v="6627.95"/>
    <x v="0"/>
  </r>
  <r>
    <s v="HSBC100673"/>
    <s v="Pooja Patel"/>
    <n v="49"/>
    <x v="8"/>
    <x v="2"/>
    <x v="0"/>
    <d v="2026-06-04T00:00:00"/>
    <x v="4"/>
    <n v="2155888"/>
    <n v="829"/>
    <x v="0"/>
    <x v="0"/>
    <n v="54"/>
    <n v="6025.14"/>
    <x v="0"/>
  </r>
  <r>
    <s v="HSBC100674"/>
    <s v="Rohan Iyer"/>
    <n v="48"/>
    <x v="5"/>
    <x v="3"/>
    <x v="1"/>
    <d v="2025-12-26T00:00:00"/>
    <x v="1"/>
    <n v="4448811"/>
    <n v="651"/>
    <x v="6"/>
    <x v="3"/>
    <n v="78"/>
    <n v="32641.37"/>
    <x v="0"/>
  </r>
  <r>
    <s v="HSBC100675"/>
    <s v="Rohan Nair"/>
    <n v="31"/>
    <x v="11"/>
    <x v="0"/>
    <x v="1"/>
    <d v="2025-10-08T00:00:00"/>
    <x v="3"/>
    <n v="922225"/>
    <n v="814"/>
    <x v="0"/>
    <x v="1"/>
    <n v="6"/>
    <n v="40400.57"/>
    <x v="0"/>
  </r>
  <r>
    <s v="HSBC100676"/>
    <s v="Vivaan Nair"/>
    <n v="21"/>
    <x v="9"/>
    <x v="1"/>
    <x v="2"/>
    <d v="2025-07-14T00:00:00"/>
    <x v="1"/>
    <n v="3760463"/>
    <n v="735"/>
    <x v="5"/>
    <x v="1"/>
    <n v="78"/>
    <n v="2305.39"/>
    <x v="0"/>
  </r>
  <r>
    <s v="HSBC100677"/>
    <s v="Rahul Verma"/>
    <n v="63"/>
    <x v="4"/>
    <x v="1"/>
    <x v="1"/>
    <d v="2025-07-14T00:00:00"/>
    <x v="1"/>
    <n v="1690334"/>
    <n v="694"/>
    <x v="2"/>
    <x v="4"/>
    <n v="81"/>
    <n v="37225.72"/>
    <x v="0"/>
  </r>
  <r>
    <s v="HSBC100678"/>
    <s v="Priya Patel"/>
    <n v="39"/>
    <x v="5"/>
    <x v="0"/>
    <x v="1"/>
    <d v="2025-04-03T00:00:00"/>
    <x v="1"/>
    <n v="2374365"/>
    <n v="807"/>
    <x v="0"/>
    <x v="2"/>
    <n v="18"/>
    <n v="36509.61"/>
    <x v="0"/>
  </r>
  <r>
    <s v="HSBC100679"/>
    <s v="Karan Sen"/>
    <n v="29"/>
    <x v="11"/>
    <x v="1"/>
    <x v="1"/>
    <d v="2025-03-02T00:00:00"/>
    <x v="1"/>
    <n v="3320610"/>
    <n v="824"/>
    <x v="3"/>
    <x v="3"/>
    <n v="20"/>
    <n v="9139.15"/>
    <x v="1"/>
  </r>
  <r>
    <s v="HSBC100680"/>
    <s v="Aarav Iyer"/>
    <n v="47"/>
    <x v="10"/>
    <x v="0"/>
    <x v="1"/>
    <d v="2025-02-20T00:00:00"/>
    <x v="5"/>
    <n v="3453178"/>
    <n v="593"/>
    <x v="1"/>
    <x v="2"/>
    <n v="115"/>
    <n v="23841.18"/>
    <x v="0"/>
  </r>
  <r>
    <s v="HSBC100681"/>
    <s v="Amit Iyer"/>
    <n v="54"/>
    <x v="9"/>
    <x v="1"/>
    <x v="3"/>
    <d v="2026-02-07T00:00:00"/>
    <x v="1"/>
    <n v="647693"/>
    <n v="595"/>
    <x v="6"/>
    <x v="2"/>
    <n v="62"/>
    <n v="26488.65"/>
    <x v="0"/>
  </r>
  <r>
    <s v="HSBC100682"/>
    <s v="Amit Sen"/>
    <n v="64"/>
    <x v="5"/>
    <x v="1"/>
    <x v="1"/>
    <d v="2025-01-05T00:00:00"/>
    <x v="1"/>
    <n v="3982238"/>
    <n v="621"/>
    <x v="4"/>
    <x v="2"/>
    <n v="81"/>
    <n v="6870.22"/>
    <x v="0"/>
  </r>
  <r>
    <s v="HSBC100683"/>
    <s v="Sneha Malhotra"/>
    <n v="24"/>
    <x v="11"/>
    <x v="1"/>
    <x v="1"/>
    <d v="2026-04-11T00:00:00"/>
    <x v="0"/>
    <n v="2222613"/>
    <n v="689"/>
    <x v="7"/>
    <x v="2"/>
    <n v="80"/>
    <n v="7589.76"/>
    <x v="0"/>
  </r>
  <r>
    <s v="HSBC100684"/>
    <s v="Arjun Sharma"/>
    <n v="56"/>
    <x v="9"/>
    <x v="1"/>
    <x v="1"/>
    <d v="2026-08-27T00:00:00"/>
    <x v="1"/>
    <n v="2865880"/>
    <n v="598"/>
    <x v="5"/>
    <x v="1"/>
    <n v="40"/>
    <n v="16627.189999999999"/>
    <x v="1"/>
  </r>
  <r>
    <s v="HSBC100685"/>
    <s v="Aditya Sharma"/>
    <n v="38"/>
    <x v="4"/>
    <x v="1"/>
    <x v="0"/>
    <d v="2026-06-18T00:00:00"/>
    <x v="1"/>
    <n v="4074484"/>
    <n v="645"/>
    <x v="7"/>
    <x v="3"/>
    <n v="39"/>
    <n v="1619.79"/>
    <x v="1"/>
  </r>
  <r>
    <s v="HSBC100686"/>
    <s v="Ananya Verma"/>
    <n v="35"/>
    <x v="11"/>
    <x v="1"/>
    <x v="1"/>
    <d v="2026-02-09T00:00:00"/>
    <x v="1"/>
    <n v="3408483"/>
    <n v="746"/>
    <x v="1"/>
    <x v="4"/>
    <n v="52"/>
    <n v="6176.48"/>
    <x v="0"/>
  </r>
  <r>
    <s v="HSBC100687"/>
    <s v="Varun Malhotra"/>
    <n v="33"/>
    <x v="11"/>
    <x v="3"/>
    <x v="2"/>
    <d v="2026-05-28T00:00:00"/>
    <x v="2"/>
    <n v="3585705"/>
    <n v="652"/>
    <x v="0"/>
    <x v="2"/>
    <n v="32"/>
    <n v="2539.25"/>
    <x v="0"/>
  </r>
  <r>
    <s v="HSBC100688"/>
    <s v="Arjun Das"/>
    <n v="39"/>
    <x v="11"/>
    <x v="1"/>
    <x v="1"/>
    <d v="2025-08-21T00:00:00"/>
    <x v="1"/>
    <n v="1594091"/>
    <n v="691"/>
    <x v="7"/>
    <x v="4"/>
    <n v="108"/>
    <n v="39924.97"/>
    <x v="0"/>
  </r>
  <r>
    <s v="HSBC100689"/>
    <s v="Varun Malhotra"/>
    <n v="69"/>
    <x v="7"/>
    <x v="0"/>
    <x v="1"/>
    <d v="2026-06-08T00:00:00"/>
    <x v="3"/>
    <n v="654470"/>
    <n v="664"/>
    <x v="3"/>
    <x v="1"/>
    <n v="73"/>
    <n v="6100.57"/>
    <x v="2"/>
  </r>
  <r>
    <s v="HSBC100690"/>
    <s v="Amit Mehta"/>
    <n v="26"/>
    <x v="3"/>
    <x v="2"/>
    <x v="1"/>
    <d v="2025-12-12T00:00:00"/>
    <x v="1"/>
    <n v="1041624"/>
    <n v="718"/>
    <x v="0"/>
    <x v="1"/>
    <n v="27"/>
    <n v="11970.4"/>
    <x v="0"/>
  </r>
  <r>
    <s v="HSBC100691"/>
    <s v="Aditya Singh"/>
    <n v="68"/>
    <x v="7"/>
    <x v="3"/>
    <x v="0"/>
    <d v="2025-02-15T00:00:00"/>
    <x v="2"/>
    <n v="1851207"/>
    <n v="618"/>
    <x v="1"/>
    <x v="0"/>
    <n v="110"/>
    <n v="7120.03"/>
    <x v="0"/>
  </r>
  <r>
    <s v="HSBC100692"/>
    <s v="Varun Iyer"/>
    <n v="32"/>
    <x v="10"/>
    <x v="0"/>
    <x v="3"/>
    <d v="2026-06-30T00:00:00"/>
    <x v="2"/>
    <n v="1857245"/>
    <n v="684"/>
    <x v="7"/>
    <x v="2"/>
    <n v="52"/>
    <n v="6649.8"/>
    <x v="1"/>
  </r>
  <r>
    <s v="HSBC100693"/>
    <s v="Rahul Banerjee"/>
    <n v="57"/>
    <x v="4"/>
    <x v="2"/>
    <x v="1"/>
    <d v="2025-03-19T00:00:00"/>
    <x v="1"/>
    <n v="3245035"/>
    <n v="702"/>
    <x v="4"/>
    <x v="0"/>
    <n v="97"/>
    <n v="11175.9"/>
    <x v="0"/>
  </r>
  <r>
    <s v="HSBC100694"/>
    <s v="Priya Iyer"/>
    <n v="37"/>
    <x v="7"/>
    <x v="1"/>
    <x v="2"/>
    <d v="2025-03-14T00:00:00"/>
    <x v="1"/>
    <n v="2559305"/>
    <n v="797"/>
    <x v="2"/>
    <x v="4"/>
    <n v="63"/>
    <n v="4158.1400000000003"/>
    <x v="0"/>
  </r>
  <r>
    <s v="HSBC100695"/>
    <s v="Sanjay Singh"/>
    <n v="43"/>
    <x v="5"/>
    <x v="1"/>
    <x v="3"/>
    <d v="2025-09-06T00:00:00"/>
    <x v="1"/>
    <n v="3106188"/>
    <n v="640"/>
    <x v="5"/>
    <x v="3"/>
    <n v="74"/>
    <n v="7270.6"/>
    <x v="0"/>
  </r>
  <r>
    <s v="HSBC100696"/>
    <s v="Sanjay Mehta"/>
    <n v="46"/>
    <x v="2"/>
    <x v="1"/>
    <x v="1"/>
    <d v="2025-02-16T00:00:00"/>
    <x v="2"/>
    <n v="2793628"/>
    <n v="679"/>
    <x v="7"/>
    <x v="0"/>
    <n v="63"/>
    <n v="7214.62"/>
    <x v="0"/>
  </r>
  <r>
    <s v="HSBC100697"/>
    <s v="Neha Singh"/>
    <n v="49"/>
    <x v="3"/>
    <x v="0"/>
    <x v="0"/>
    <d v="2025-05-01T00:00:00"/>
    <x v="1"/>
    <n v="734427"/>
    <n v="783"/>
    <x v="4"/>
    <x v="1"/>
    <n v="17"/>
    <n v="5742.35"/>
    <x v="0"/>
  </r>
  <r>
    <s v="HSBC100698"/>
    <s v="Aarav Das"/>
    <n v="53"/>
    <x v="1"/>
    <x v="0"/>
    <x v="1"/>
    <d v="2025-08-02T00:00:00"/>
    <x v="1"/>
    <n v="2667714"/>
    <n v="837"/>
    <x v="2"/>
    <x v="2"/>
    <n v="113"/>
    <n v="13502.22"/>
    <x v="0"/>
  </r>
  <r>
    <s v="HSBC100699"/>
    <s v="Meera Iyer"/>
    <n v="47"/>
    <x v="2"/>
    <x v="1"/>
    <x v="3"/>
    <d v="2025-08-27T00:00:00"/>
    <x v="0"/>
    <n v="4208905"/>
    <n v="584"/>
    <x v="2"/>
    <x v="4"/>
    <n v="49"/>
    <n v="5600.74"/>
    <x v="0"/>
  </r>
  <r>
    <s v="HSBC100700"/>
    <s v="Aarav Banerjee"/>
    <n v="45"/>
    <x v="3"/>
    <x v="1"/>
    <x v="0"/>
    <d v="2025-02-25T00:00:00"/>
    <x v="1"/>
    <n v="4333372"/>
    <n v="776"/>
    <x v="7"/>
    <x v="1"/>
    <n v="100"/>
    <n v="48614.19"/>
    <x v="0"/>
  </r>
  <r>
    <s v="HSBC100701"/>
    <s v="Amit Banerjee"/>
    <n v="30"/>
    <x v="8"/>
    <x v="0"/>
    <x v="3"/>
    <d v="2025-12-16T00:00:00"/>
    <x v="4"/>
    <n v="1359229"/>
    <n v="759"/>
    <x v="6"/>
    <x v="3"/>
    <n v="81"/>
    <n v="17333.78"/>
    <x v="0"/>
  </r>
  <r>
    <s v="HSBC100702"/>
    <s v="Vikram Sen"/>
    <n v="67"/>
    <x v="8"/>
    <x v="1"/>
    <x v="0"/>
    <d v="2025-04-17T00:00:00"/>
    <x v="4"/>
    <n v="4143623"/>
    <n v="712"/>
    <x v="7"/>
    <x v="2"/>
    <n v="82"/>
    <n v="2171.61"/>
    <x v="0"/>
  </r>
  <r>
    <s v="HSBC100703"/>
    <s v="Ananya Patel"/>
    <n v="43"/>
    <x v="11"/>
    <x v="0"/>
    <x v="1"/>
    <d v="2025-02-17T00:00:00"/>
    <x v="1"/>
    <n v="2339884"/>
    <n v="832"/>
    <x v="1"/>
    <x v="3"/>
    <n v="116"/>
    <n v="15969.27"/>
    <x v="0"/>
  </r>
  <r>
    <s v="HSBC100704"/>
    <s v="Vivaan Mehta"/>
    <n v="41"/>
    <x v="3"/>
    <x v="0"/>
    <x v="3"/>
    <d v="2026-07-27T00:00:00"/>
    <x v="1"/>
    <n v="4454099"/>
    <n v="844"/>
    <x v="2"/>
    <x v="3"/>
    <n v="23"/>
    <n v="4341.8100000000004"/>
    <x v="0"/>
  </r>
  <r>
    <s v="HSBC100705"/>
    <s v="Vikram Sharma"/>
    <n v="41"/>
    <x v="1"/>
    <x v="2"/>
    <x v="1"/>
    <d v="2025-12-03T00:00:00"/>
    <x v="1"/>
    <n v="3630796"/>
    <n v="672"/>
    <x v="5"/>
    <x v="2"/>
    <n v="98"/>
    <n v="10326.56"/>
    <x v="0"/>
  </r>
  <r>
    <s v="HSBC100706"/>
    <s v="Kavya Sharma"/>
    <n v="63"/>
    <x v="3"/>
    <x v="2"/>
    <x v="1"/>
    <d v="2025-01-26T00:00:00"/>
    <x v="2"/>
    <n v="1761546"/>
    <n v="729"/>
    <x v="1"/>
    <x v="2"/>
    <n v="72"/>
    <n v="4155.74"/>
    <x v="0"/>
  </r>
  <r>
    <s v="HSBC100707"/>
    <s v="Sneha Mondal"/>
    <n v="33"/>
    <x v="10"/>
    <x v="2"/>
    <x v="0"/>
    <d v="2025-09-14T00:00:00"/>
    <x v="2"/>
    <n v="1746030"/>
    <n v="717"/>
    <x v="3"/>
    <x v="3"/>
    <n v="13"/>
    <n v="894.15"/>
    <x v="0"/>
  </r>
  <r>
    <s v="HSBC100708"/>
    <s v="Rohan Malhotra"/>
    <n v="57"/>
    <x v="2"/>
    <x v="1"/>
    <x v="0"/>
    <d v="2025-01-08T00:00:00"/>
    <x v="4"/>
    <n v="3099090"/>
    <n v="787"/>
    <x v="0"/>
    <x v="4"/>
    <n v="23"/>
    <n v="8753.25"/>
    <x v="0"/>
  </r>
  <r>
    <s v="HSBC100709"/>
    <s v="Ishita Sharma"/>
    <n v="53"/>
    <x v="10"/>
    <x v="2"/>
    <x v="3"/>
    <d v="2025-09-10T00:00:00"/>
    <x v="3"/>
    <n v="3562750"/>
    <n v="704"/>
    <x v="7"/>
    <x v="2"/>
    <n v="57"/>
    <n v="1985.97"/>
    <x v="0"/>
  </r>
  <r>
    <s v="HSBC100710"/>
    <s v="Rohan Mehta"/>
    <n v="44"/>
    <x v="1"/>
    <x v="0"/>
    <x v="1"/>
    <d v="2025-10-30T00:00:00"/>
    <x v="2"/>
    <n v="261009"/>
    <n v="813"/>
    <x v="6"/>
    <x v="1"/>
    <n v="62"/>
    <n v="13914.7"/>
    <x v="0"/>
  </r>
  <r>
    <s v="HSBC100711"/>
    <s v="Sneha Mehta"/>
    <n v="64"/>
    <x v="3"/>
    <x v="1"/>
    <x v="0"/>
    <d v="2025-02-25T00:00:00"/>
    <x v="1"/>
    <n v="1973480"/>
    <n v="640"/>
    <x v="5"/>
    <x v="0"/>
    <n v="54"/>
    <n v="10759.28"/>
    <x v="0"/>
  </r>
  <r>
    <s v="HSBC100712"/>
    <s v="Ananya Sharma"/>
    <n v="31"/>
    <x v="9"/>
    <x v="1"/>
    <x v="0"/>
    <d v="2026-06-10T00:00:00"/>
    <x v="1"/>
    <n v="3949397"/>
    <n v="845"/>
    <x v="6"/>
    <x v="4"/>
    <n v="20"/>
    <n v="4750.1000000000004"/>
    <x v="0"/>
  </r>
  <r>
    <s v="HSBC100713"/>
    <s v="Sneha Mondal"/>
    <n v="37"/>
    <x v="10"/>
    <x v="1"/>
    <x v="1"/>
    <d v="2026-04-19T00:00:00"/>
    <x v="3"/>
    <n v="2241367"/>
    <n v="713"/>
    <x v="6"/>
    <x v="2"/>
    <n v="86"/>
    <n v="60889.37"/>
    <x v="0"/>
  </r>
  <r>
    <s v="HSBC100714"/>
    <s v="Aditya Mehta"/>
    <n v="24"/>
    <x v="10"/>
    <x v="1"/>
    <x v="1"/>
    <d v="2025-01-28T00:00:00"/>
    <x v="1"/>
    <n v="580328"/>
    <n v="692"/>
    <x v="6"/>
    <x v="2"/>
    <n v="111"/>
    <n v="2437.5500000000002"/>
    <x v="0"/>
  </r>
  <r>
    <s v="HSBC100715"/>
    <s v="Sanjay Sen"/>
    <n v="67"/>
    <x v="0"/>
    <x v="0"/>
    <x v="1"/>
    <d v="2025-03-19T00:00:00"/>
    <x v="1"/>
    <n v="2958668"/>
    <n v="770"/>
    <x v="7"/>
    <x v="5"/>
    <n v="52"/>
    <n v="4649.18"/>
    <x v="0"/>
  </r>
  <r>
    <s v="HSBC100716"/>
    <s v="Varun Sen"/>
    <n v="45"/>
    <x v="3"/>
    <x v="2"/>
    <x v="1"/>
    <d v="2025-08-04T00:00:00"/>
    <x v="4"/>
    <n v="1250294"/>
    <n v="766"/>
    <x v="5"/>
    <x v="0"/>
    <n v="23"/>
    <n v="2760.79"/>
    <x v="0"/>
  </r>
  <r>
    <s v="HSBC100717"/>
    <s v="Vikram Banerjee"/>
    <n v="50"/>
    <x v="10"/>
    <x v="1"/>
    <x v="3"/>
    <d v="2026-01-21T00:00:00"/>
    <x v="1"/>
    <n v="3448454"/>
    <n v="668"/>
    <x v="5"/>
    <x v="3"/>
    <n v="105"/>
    <n v="76372.800000000003"/>
    <x v="0"/>
  </r>
  <r>
    <s v="HSBC100718"/>
    <s v="Pooja Roy"/>
    <n v="29"/>
    <x v="7"/>
    <x v="1"/>
    <x v="2"/>
    <d v="2025-12-31T00:00:00"/>
    <x v="3"/>
    <n v="1196984"/>
    <n v="766"/>
    <x v="2"/>
    <x v="1"/>
    <n v="35"/>
    <n v="37043.800000000003"/>
    <x v="0"/>
  </r>
  <r>
    <s v="HSBC100719"/>
    <s v="Ananya Roy"/>
    <n v="41"/>
    <x v="4"/>
    <x v="3"/>
    <x v="0"/>
    <d v="2026-06-10T00:00:00"/>
    <x v="2"/>
    <n v="2535362"/>
    <n v="711"/>
    <x v="6"/>
    <x v="2"/>
    <n v="67"/>
    <n v="2011.77"/>
    <x v="0"/>
  </r>
  <r>
    <s v="HSBC100720"/>
    <s v="Kavya Mondal"/>
    <n v="40"/>
    <x v="3"/>
    <x v="1"/>
    <x v="3"/>
    <d v="2025-11-08T00:00:00"/>
    <x v="1"/>
    <n v="3092894"/>
    <n v="702"/>
    <x v="2"/>
    <x v="0"/>
    <n v="34"/>
    <n v="3763.63"/>
    <x v="0"/>
  </r>
  <r>
    <s v="HSBC100721"/>
    <s v="Karan Mondal"/>
    <n v="39"/>
    <x v="8"/>
    <x v="1"/>
    <x v="1"/>
    <d v="2025-01-07T00:00:00"/>
    <x v="0"/>
    <n v="3700375"/>
    <n v="627"/>
    <x v="2"/>
    <x v="1"/>
    <n v="33"/>
    <n v="3900.1"/>
    <x v="0"/>
  </r>
  <r>
    <s v="HSBC100722"/>
    <s v="Nikhil Chatterjee"/>
    <n v="39"/>
    <x v="0"/>
    <x v="0"/>
    <x v="0"/>
    <d v="2025-01-03T00:00:00"/>
    <x v="1"/>
    <n v="427265"/>
    <n v="758"/>
    <x v="0"/>
    <x v="4"/>
    <n v="46"/>
    <n v="5022.7700000000004"/>
    <x v="0"/>
  </r>
  <r>
    <s v="HSBC100723"/>
    <s v="Rohan Sen"/>
    <n v="32"/>
    <x v="10"/>
    <x v="0"/>
    <x v="1"/>
    <d v="2025-12-29T00:00:00"/>
    <x v="1"/>
    <n v="3476585"/>
    <n v="759"/>
    <x v="7"/>
    <x v="2"/>
    <n v="81"/>
    <n v="2996.14"/>
    <x v="0"/>
  </r>
  <r>
    <s v="HSBC100724"/>
    <s v="Vikram Malhotra"/>
    <n v="57"/>
    <x v="0"/>
    <x v="1"/>
    <x v="0"/>
    <d v="2026-05-23T00:00:00"/>
    <x v="1"/>
    <n v="3778329"/>
    <n v="678"/>
    <x v="7"/>
    <x v="3"/>
    <n v="45"/>
    <n v="4740.8"/>
    <x v="0"/>
  </r>
  <r>
    <s v="HSBC100725"/>
    <s v="Priya Gupta"/>
    <n v="62"/>
    <x v="8"/>
    <x v="1"/>
    <x v="1"/>
    <d v="2025-10-01T00:00:00"/>
    <x v="1"/>
    <n v="3286773"/>
    <n v="613"/>
    <x v="1"/>
    <x v="4"/>
    <n v="19"/>
    <n v="25722.36"/>
    <x v="0"/>
  </r>
  <r>
    <s v="HSBC100726"/>
    <s v="Kavya Malhotra"/>
    <n v="37"/>
    <x v="1"/>
    <x v="1"/>
    <x v="3"/>
    <d v="2026-05-21T00:00:00"/>
    <x v="1"/>
    <n v="1940792"/>
    <n v="649"/>
    <x v="4"/>
    <x v="2"/>
    <n v="94"/>
    <n v="69165.53"/>
    <x v="1"/>
  </r>
  <r>
    <s v="HSBC100727"/>
    <s v="Meera Khan"/>
    <n v="57"/>
    <x v="1"/>
    <x v="0"/>
    <x v="1"/>
    <d v="2025-01-15T00:00:00"/>
    <x v="1"/>
    <n v="1881570"/>
    <n v="750"/>
    <x v="2"/>
    <x v="0"/>
    <n v="87"/>
    <n v="1769.38"/>
    <x v="0"/>
  </r>
  <r>
    <s v="HSBC100728"/>
    <s v="Sanjay Verma"/>
    <n v="68"/>
    <x v="2"/>
    <x v="0"/>
    <x v="1"/>
    <d v="2025-07-11T00:00:00"/>
    <x v="1"/>
    <n v="2225556"/>
    <n v="638"/>
    <x v="7"/>
    <x v="1"/>
    <n v="15"/>
    <n v="3001.41"/>
    <x v="0"/>
  </r>
  <r>
    <s v="HSBC100729"/>
    <s v="Vikram Malhotra"/>
    <n v="59"/>
    <x v="3"/>
    <x v="1"/>
    <x v="0"/>
    <d v="2026-04-30T00:00:00"/>
    <x v="1"/>
    <n v="3740678"/>
    <n v="760"/>
    <x v="6"/>
    <x v="1"/>
    <n v="78"/>
    <n v="11206.37"/>
    <x v="0"/>
  </r>
  <r>
    <s v="HSBC100730"/>
    <s v="Vikram Singh"/>
    <n v="48"/>
    <x v="8"/>
    <x v="0"/>
    <x v="1"/>
    <d v="2025-01-28T00:00:00"/>
    <x v="4"/>
    <n v="1910102"/>
    <n v="598"/>
    <x v="4"/>
    <x v="2"/>
    <n v="66"/>
    <n v="1703.91"/>
    <x v="0"/>
  </r>
  <r>
    <s v="HSBC100731"/>
    <s v="Neha Das"/>
    <n v="61"/>
    <x v="6"/>
    <x v="2"/>
    <x v="2"/>
    <d v="2025-02-08T00:00:00"/>
    <x v="4"/>
    <n v="2595170"/>
    <n v="805"/>
    <x v="3"/>
    <x v="4"/>
    <n v="39"/>
    <n v="11514.97"/>
    <x v="0"/>
  </r>
  <r>
    <s v="HSBC100732"/>
    <s v="Kavya Das"/>
    <n v="55"/>
    <x v="2"/>
    <x v="1"/>
    <x v="1"/>
    <d v="2025-09-30T00:00:00"/>
    <x v="1"/>
    <n v="1761710"/>
    <n v="674"/>
    <x v="6"/>
    <x v="3"/>
    <n v="113"/>
    <n v="15789.62"/>
    <x v="0"/>
  </r>
  <r>
    <s v="HSBC100733"/>
    <s v="Aditya Sharma"/>
    <n v="67"/>
    <x v="6"/>
    <x v="1"/>
    <x v="0"/>
    <d v="2025-08-19T00:00:00"/>
    <x v="1"/>
    <n v="2017091"/>
    <n v="660"/>
    <x v="5"/>
    <x v="0"/>
    <n v="18"/>
    <n v="18688.900000000001"/>
    <x v="0"/>
  </r>
  <r>
    <s v="HSBC100734"/>
    <s v="Arjun Nair"/>
    <n v="68"/>
    <x v="3"/>
    <x v="0"/>
    <x v="1"/>
    <d v="2025-03-27T00:00:00"/>
    <x v="1"/>
    <n v="1082230"/>
    <n v="754"/>
    <x v="7"/>
    <x v="2"/>
    <n v="70"/>
    <n v="15332.83"/>
    <x v="0"/>
  </r>
  <r>
    <s v="HSBC100735"/>
    <s v="Arjun Nair"/>
    <n v="38"/>
    <x v="11"/>
    <x v="1"/>
    <x v="1"/>
    <d v="2026-04-19T00:00:00"/>
    <x v="1"/>
    <n v="1066609"/>
    <n v="801"/>
    <x v="4"/>
    <x v="0"/>
    <n v="59"/>
    <n v="5105.07"/>
    <x v="0"/>
  </r>
  <r>
    <s v="HSBC100736"/>
    <s v="Neha Singh"/>
    <n v="34"/>
    <x v="0"/>
    <x v="1"/>
    <x v="1"/>
    <d v="2025-05-06T00:00:00"/>
    <x v="4"/>
    <n v="3885192"/>
    <n v="682"/>
    <x v="7"/>
    <x v="1"/>
    <n v="32"/>
    <n v="7400.09"/>
    <x v="0"/>
  </r>
  <r>
    <s v="HSBC100737"/>
    <s v="Amit Banerjee"/>
    <n v="55"/>
    <x v="0"/>
    <x v="0"/>
    <x v="1"/>
    <d v="2026-06-21T00:00:00"/>
    <x v="4"/>
    <n v="4312316"/>
    <n v="633"/>
    <x v="1"/>
    <x v="3"/>
    <n v="21"/>
    <n v="2595.4"/>
    <x v="0"/>
  </r>
  <r>
    <s v="HSBC100738"/>
    <s v="Arjun Khan"/>
    <n v="64"/>
    <x v="1"/>
    <x v="2"/>
    <x v="1"/>
    <d v="2025-05-25T00:00:00"/>
    <x v="1"/>
    <n v="3438741"/>
    <n v="762"/>
    <x v="2"/>
    <x v="0"/>
    <n v="40"/>
    <n v="14582.18"/>
    <x v="0"/>
  </r>
  <r>
    <s v="HSBC100739"/>
    <s v="Vikram Das"/>
    <n v="61"/>
    <x v="6"/>
    <x v="2"/>
    <x v="1"/>
    <d v="2026-06-09T00:00:00"/>
    <x v="1"/>
    <n v="4414133"/>
    <n v="647"/>
    <x v="3"/>
    <x v="2"/>
    <n v="92"/>
    <n v="48219.96"/>
    <x v="0"/>
  </r>
  <r>
    <s v="HSBC100740"/>
    <s v="Sneha Sen"/>
    <n v="27"/>
    <x v="7"/>
    <x v="0"/>
    <x v="1"/>
    <d v="2025-07-31T00:00:00"/>
    <x v="1"/>
    <n v="1905464"/>
    <n v="607"/>
    <x v="7"/>
    <x v="3"/>
    <n v="27"/>
    <n v="14549.49"/>
    <x v="0"/>
  </r>
  <r>
    <s v="HSBC100741"/>
    <s v="Meera Malhotra"/>
    <n v="61"/>
    <x v="5"/>
    <x v="2"/>
    <x v="1"/>
    <d v="2025-01-25T00:00:00"/>
    <x v="2"/>
    <n v="1656819"/>
    <n v="698"/>
    <x v="1"/>
    <x v="4"/>
    <n v="2"/>
    <n v="4316.71"/>
    <x v="0"/>
  </r>
  <r>
    <s v="HSBC100742"/>
    <s v="Vivaan Chatterjee"/>
    <n v="33"/>
    <x v="10"/>
    <x v="1"/>
    <x v="2"/>
    <d v="2026-08-03T00:00:00"/>
    <x v="1"/>
    <n v="1128835"/>
    <n v="713"/>
    <x v="1"/>
    <x v="2"/>
    <n v="97"/>
    <n v="25451.54"/>
    <x v="0"/>
  </r>
  <r>
    <s v="HSBC100743"/>
    <s v="Priya Verma"/>
    <n v="38"/>
    <x v="10"/>
    <x v="0"/>
    <x v="3"/>
    <d v="2026-01-29T00:00:00"/>
    <x v="0"/>
    <n v="873578"/>
    <n v="708"/>
    <x v="3"/>
    <x v="0"/>
    <n v="80"/>
    <n v="107358.51"/>
    <x v="1"/>
  </r>
  <r>
    <s v="HSBC100744"/>
    <s v="Sanjay Mehta"/>
    <n v="57"/>
    <x v="10"/>
    <x v="1"/>
    <x v="1"/>
    <d v="2025-03-08T00:00:00"/>
    <x v="4"/>
    <n v="3527560"/>
    <n v="587"/>
    <x v="6"/>
    <x v="3"/>
    <n v="39"/>
    <n v="11560.01"/>
    <x v="0"/>
  </r>
  <r>
    <s v="HSBC100745"/>
    <s v="Amit Patel"/>
    <n v="33"/>
    <x v="1"/>
    <x v="1"/>
    <x v="2"/>
    <d v="2025-08-21T00:00:00"/>
    <x v="1"/>
    <n v="3419870"/>
    <n v="630"/>
    <x v="6"/>
    <x v="2"/>
    <n v="86"/>
    <n v="16029.67"/>
    <x v="2"/>
  </r>
  <r>
    <s v="HSBC100746"/>
    <s v="Neha Singh"/>
    <n v="56"/>
    <x v="8"/>
    <x v="2"/>
    <x v="0"/>
    <d v="2025-04-19T00:00:00"/>
    <x v="2"/>
    <n v="2719485"/>
    <n v="754"/>
    <x v="6"/>
    <x v="3"/>
    <n v="56"/>
    <n v="18243.900000000001"/>
    <x v="0"/>
  </r>
  <r>
    <s v="HSBC100747"/>
    <s v="Vikram Chatterjee"/>
    <n v="51"/>
    <x v="7"/>
    <x v="0"/>
    <x v="1"/>
    <d v="2025-05-26T00:00:00"/>
    <x v="3"/>
    <n v="3281946"/>
    <n v="762"/>
    <x v="0"/>
    <x v="3"/>
    <n v="107"/>
    <n v="1661.24"/>
    <x v="0"/>
  </r>
  <r>
    <s v="HSBC100748"/>
    <s v="Pooja Khan"/>
    <n v="22"/>
    <x v="9"/>
    <x v="1"/>
    <x v="0"/>
    <d v="2025-04-21T00:00:00"/>
    <x v="2"/>
    <n v="2629093"/>
    <n v="771"/>
    <x v="2"/>
    <x v="3"/>
    <n v="111"/>
    <n v="5815.73"/>
    <x v="0"/>
  </r>
  <r>
    <s v="HSBC100749"/>
    <s v="Amit Gupta"/>
    <n v="36"/>
    <x v="6"/>
    <x v="2"/>
    <x v="1"/>
    <d v="2025-08-16T00:00:00"/>
    <x v="1"/>
    <n v="3010451"/>
    <n v="828"/>
    <x v="4"/>
    <x v="0"/>
    <n v="13"/>
    <n v="5220.9799999999996"/>
    <x v="0"/>
  </r>
  <r>
    <s v="HSBC100750"/>
    <s v="Varun Nair"/>
    <n v="29"/>
    <x v="7"/>
    <x v="1"/>
    <x v="2"/>
    <d v="2025-04-21T00:00:00"/>
    <x v="1"/>
    <n v="947389"/>
    <n v="814"/>
    <x v="2"/>
    <x v="2"/>
    <n v="56"/>
    <n v="21517.24"/>
    <x v="0"/>
  </r>
  <r>
    <s v="HSBC100751"/>
    <s v="Varun Sen"/>
    <n v="29"/>
    <x v="2"/>
    <x v="1"/>
    <x v="1"/>
    <d v="2026-04-15T00:00:00"/>
    <x v="3"/>
    <n v="4016176"/>
    <n v="662"/>
    <x v="6"/>
    <x v="1"/>
    <n v="66"/>
    <n v="19039.82"/>
    <x v="0"/>
  </r>
  <r>
    <s v="HSBC100752"/>
    <s v="Ishita Malhotra"/>
    <n v="58"/>
    <x v="6"/>
    <x v="1"/>
    <x v="0"/>
    <d v="2025-02-03T00:00:00"/>
    <x v="2"/>
    <n v="4491244"/>
    <n v="672"/>
    <x v="3"/>
    <x v="1"/>
    <n v="78"/>
    <n v="7889.01"/>
    <x v="0"/>
  </r>
  <r>
    <s v="HSBC100753"/>
    <s v="Nikhil Nair"/>
    <n v="31"/>
    <x v="7"/>
    <x v="2"/>
    <x v="0"/>
    <d v="2026-01-04T00:00:00"/>
    <x v="2"/>
    <n v="4423414"/>
    <n v="847"/>
    <x v="0"/>
    <x v="0"/>
    <n v="56"/>
    <n v="4902.1400000000003"/>
    <x v="0"/>
  </r>
  <r>
    <s v="HSBC100754"/>
    <s v="Sanjay Mehta"/>
    <n v="42"/>
    <x v="5"/>
    <x v="2"/>
    <x v="1"/>
    <d v="2026-08-18T00:00:00"/>
    <x v="3"/>
    <n v="4154840"/>
    <n v="699"/>
    <x v="2"/>
    <x v="0"/>
    <n v="102"/>
    <n v="1523.97"/>
    <x v="0"/>
  </r>
  <r>
    <s v="HSBC100755"/>
    <s v="Aditya Banerjee"/>
    <n v="53"/>
    <x v="7"/>
    <x v="1"/>
    <x v="1"/>
    <d v="2026-07-08T00:00:00"/>
    <x v="3"/>
    <n v="4070730"/>
    <n v="650"/>
    <x v="6"/>
    <x v="3"/>
    <n v="105"/>
    <n v="8811.5300000000007"/>
    <x v="0"/>
  </r>
  <r>
    <s v="HSBC100756"/>
    <s v="Karan Sharma"/>
    <n v="56"/>
    <x v="7"/>
    <x v="0"/>
    <x v="3"/>
    <d v="2026-03-01T00:00:00"/>
    <x v="3"/>
    <n v="3099310"/>
    <n v="596"/>
    <x v="0"/>
    <x v="2"/>
    <n v="28"/>
    <n v="3286.91"/>
    <x v="0"/>
  </r>
  <r>
    <s v="HSBC100757"/>
    <s v="Ishita Singh"/>
    <n v="65"/>
    <x v="7"/>
    <x v="1"/>
    <x v="1"/>
    <d v="2026-06-02T00:00:00"/>
    <x v="1"/>
    <n v="3098411"/>
    <n v="832"/>
    <x v="4"/>
    <x v="2"/>
    <n v="64"/>
    <n v="2885.85"/>
    <x v="0"/>
  </r>
  <r>
    <s v="HSBC100758"/>
    <s v="Kavya Das"/>
    <n v="43"/>
    <x v="0"/>
    <x v="2"/>
    <x v="2"/>
    <d v="2025-10-09T00:00:00"/>
    <x v="2"/>
    <n v="3594443"/>
    <n v="701"/>
    <x v="3"/>
    <x v="4"/>
    <n v="71"/>
    <n v="23684.639999999999"/>
    <x v="1"/>
  </r>
  <r>
    <s v="HSBC100759"/>
    <s v="Sneha Nair"/>
    <n v="65"/>
    <x v="11"/>
    <x v="1"/>
    <x v="3"/>
    <d v="2025-11-16T00:00:00"/>
    <x v="4"/>
    <n v="1306504"/>
    <n v="589"/>
    <x v="6"/>
    <x v="4"/>
    <n v="82"/>
    <n v="21226.71"/>
    <x v="0"/>
  </r>
  <r>
    <s v="HSBC100760"/>
    <s v="Vikram Nair"/>
    <n v="65"/>
    <x v="3"/>
    <x v="1"/>
    <x v="0"/>
    <d v="2026-03-19T00:00:00"/>
    <x v="4"/>
    <n v="2694149"/>
    <n v="789"/>
    <x v="4"/>
    <x v="1"/>
    <n v="64"/>
    <n v="5361.38"/>
    <x v="0"/>
  </r>
  <r>
    <s v="HSBC100761"/>
    <s v="Vikram Nair"/>
    <n v="54"/>
    <x v="2"/>
    <x v="3"/>
    <x v="2"/>
    <d v="2025-11-11T00:00:00"/>
    <x v="2"/>
    <n v="2464669"/>
    <n v="797"/>
    <x v="5"/>
    <x v="4"/>
    <n v="56"/>
    <n v="1724.17"/>
    <x v="0"/>
  </r>
  <r>
    <s v="HSBC100762"/>
    <s v="Karan Patel"/>
    <n v="29"/>
    <x v="2"/>
    <x v="1"/>
    <x v="0"/>
    <d v="2026-01-12T00:00:00"/>
    <x v="1"/>
    <n v="2204702"/>
    <n v="820"/>
    <x v="4"/>
    <x v="4"/>
    <n v="41"/>
    <n v="3762.72"/>
    <x v="0"/>
  </r>
  <r>
    <s v="HSBC100763"/>
    <s v="Ishita Malhotra"/>
    <n v="44"/>
    <x v="0"/>
    <x v="1"/>
    <x v="0"/>
    <d v="2025-10-16T00:00:00"/>
    <x v="4"/>
    <n v="1349469"/>
    <n v="779"/>
    <x v="7"/>
    <x v="1"/>
    <n v="119"/>
    <n v="25410.47"/>
    <x v="0"/>
  </r>
  <r>
    <s v="HSBC100764"/>
    <s v="Ananya Malhotra"/>
    <n v="28"/>
    <x v="8"/>
    <x v="0"/>
    <x v="1"/>
    <d v="2026-03-13T00:00:00"/>
    <x v="4"/>
    <n v="4394111"/>
    <n v="795"/>
    <x v="3"/>
    <x v="1"/>
    <n v="100"/>
    <n v="14634.02"/>
    <x v="1"/>
  </r>
  <r>
    <s v="HSBC100765"/>
    <s v="Ananya Singh"/>
    <n v="27"/>
    <x v="3"/>
    <x v="3"/>
    <x v="1"/>
    <d v="2025-10-04T00:00:00"/>
    <x v="1"/>
    <n v="2910038"/>
    <n v="784"/>
    <x v="4"/>
    <x v="4"/>
    <n v="41"/>
    <n v="5456.73"/>
    <x v="0"/>
  </r>
  <r>
    <s v="HSBC100766"/>
    <s v="Sneha Das"/>
    <n v="56"/>
    <x v="6"/>
    <x v="1"/>
    <x v="1"/>
    <d v="2026-08-05T00:00:00"/>
    <x v="1"/>
    <n v="1437171"/>
    <n v="795"/>
    <x v="4"/>
    <x v="2"/>
    <n v="100"/>
    <n v="9525.15"/>
    <x v="0"/>
  </r>
  <r>
    <s v="HSBC100767"/>
    <s v="Vivaan Iyer"/>
    <n v="38"/>
    <x v="8"/>
    <x v="1"/>
    <x v="3"/>
    <d v="2026-05-18T00:00:00"/>
    <x v="1"/>
    <n v="3183361"/>
    <n v="659"/>
    <x v="1"/>
    <x v="4"/>
    <n v="108"/>
    <n v="1013.78"/>
    <x v="0"/>
  </r>
  <r>
    <s v="HSBC100768"/>
    <s v="Kavya Roy"/>
    <n v="23"/>
    <x v="3"/>
    <x v="1"/>
    <x v="0"/>
    <d v="2026-05-31T00:00:00"/>
    <x v="1"/>
    <n v="671655"/>
    <n v="846"/>
    <x v="1"/>
    <x v="3"/>
    <n v="4"/>
    <n v="936.31"/>
    <x v="0"/>
  </r>
  <r>
    <s v="HSBC100769"/>
    <s v="Amit Verma"/>
    <n v="48"/>
    <x v="5"/>
    <x v="1"/>
    <x v="1"/>
    <d v="2025-12-16T00:00:00"/>
    <x v="1"/>
    <n v="1049717"/>
    <n v="614"/>
    <x v="4"/>
    <x v="3"/>
    <n v="57"/>
    <n v="71394.98"/>
    <x v="2"/>
  </r>
  <r>
    <s v="HSBC100770"/>
    <s v="Kavya Mondal"/>
    <n v="26"/>
    <x v="5"/>
    <x v="1"/>
    <x v="0"/>
    <d v="2026-03-22T00:00:00"/>
    <x v="1"/>
    <n v="2732266"/>
    <n v="597"/>
    <x v="4"/>
    <x v="3"/>
    <n v="30"/>
    <n v="15242.65"/>
    <x v="0"/>
  </r>
  <r>
    <s v="HSBC100771"/>
    <s v="Ishita Iyer"/>
    <n v="64"/>
    <x v="4"/>
    <x v="0"/>
    <x v="2"/>
    <d v="2025-12-16T00:00:00"/>
    <x v="2"/>
    <n v="1171806"/>
    <n v="744"/>
    <x v="3"/>
    <x v="0"/>
    <n v="88"/>
    <n v="8970.93"/>
    <x v="0"/>
  </r>
  <r>
    <s v="HSBC100772"/>
    <s v="Ananya Sen"/>
    <n v="64"/>
    <x v="9"/>
    <x v="3"/>
    <x v="1"/>
    <d v="2026-08-30T00:00:00"/>
    <x v="2"/>
    <n v="3657129"/>
    <n v="592"/>
    <x v="1"/>
    <x v="3"/>
    <n v="84"/>
    <n v="5902.88"/>
    <x v="0"/>
  </r>
  <r>
    <s v="HSBC100773"/>
    <s v="Aarav Mehta"/>
    <n v="41"/>
    <x v="5"/>
    <x v="1"/>
    <x v="2"/>
    <d v="2025-05-17T00:00:00"/>
    <x v="2"/>
    <n v="1041043"/>
    <n v="781"/>
    <x v="2"/>
    <x v="2"/>
    <n v="46"/>
    <n v="1408.21"/>
    <x v="0"/>
  </r>
  <r>
    <s v="HSBC100774"/>
    <s v="Aditya Verma"/>
    <n v="48"/>
    <x v="6"/>
    <x v="1"/>
    <x v="1"/>
    <d v="2025-08-31T00:00:00"/>
    <x v="3"/>
    <n v="3551112"/>
    <n v="808"/>
    <x v="3"/>
    <x v="0"/>
    <n v="56"/>
    <n v="25409.41"/>
    <x v="0"/>
  </r>
  <r>
    <s v="HSBC100775"/>
    <s v="Nikhil Patel"/>
    <n v="60"/>
    <x v="11"/>
    <x v="1"/>
    <x v="0"/>
    <d v="2026-06-27T00:00:00"/>
    <x v="1"/>
    <n v="1443728"/>
    <n v="580"/>
    <x v="5"/>
    <x v="0"/>
    <n v="31"/>
    <n v="2714.24"/>
    <x v="0"/>
  </r>
  <r>
    <s v="HSBC100776"/>
    <s v="Karan Khan"/>
    <n v="21"/>
    <x v="10"/>
    <x v="1"/>
    <x v="1"/>
    <d v="2025-02-09T00:00:00"/>
    <x v="1"/>
    <n v="1754329"/>
    <n v="796"/>
    <x v="3"/>
    <x v="3"/>
    <n v="88"/>
    <n v="18758.3"/>
    <x v="0"/>
  </r>
  <r>
    <s v="HSBC100777"/>
    <s v="Kavya Singh"/>
    <n v="56"/>
    <x v="4"/>
    <x v="2"/>
    <x v="0"/>
    <d v="2025-08-17T00:00:00"/>
    <x v="3"/>
    <n v="2027850"/>
    <n v="613"/>
    <x v="6"/>
    <x v="4"/>
    <n v="7"/>
    <n v="10286.64"/>
    <x v="0"/>
  </r>
  <r>
    <s v="HSBC100778"/>
    <s v="Rohan Verma"/>
    <n v="41"/>
    <x v="10"/>
    <x v="1"/>
    <x v="2"/>
    <d v="2026-07-02T00:00:00"/>
    <x v="1"/>
    <n v="785888"/>
    <n v="845"/>
    <x v="6"/>
    <x v="1"/>
    <n v="90"/>
    <n v="8478.6"/>
    <x v="0"/>
  </r>
  <r>
    <s v="HSBC100779"/>
    <s v="Vikram Banerjee"/>
    <n v="63"/>
    <x v="2"/>
    <x v="1"/>
    <x v="1"/>
    <d v="2025-08-11T00:00:00"/>
    <x v="0"/>
    <n v="4168446"/>
    <n v="707"/>
    <x v="0"/>
    <x v="4"/>
    <n v="77"/>
    <n v="2281.33"/>
    <x v="0"/>
  </r>
  <r>
    <s v="HSBC100780"/>
    <s v="Meera Mehta"/>
    <n v="55"/>
    <x v="7"/>
    <x v="0"/>
    <x v="3"/>
    <d v="2025-01-06T00:00:00"/>
    <x v="3"/>
    <n v="2818921"/>
    <n v="791"/>
    <x v="1"/>
    <x v="4"/>
    <n v="54"/>
    <n v="2313.46"/>
    <x v="2"/>
  </r>
  <r>
    <s v="HSBC100781"/>
    <s v="Aarav Khan"/>
    <n v="33"/>
    <x v="9"/>
    <x v="1"/>
    <x v="2"/>
    <d v="2025-11-18T00:00:00"/>
    <x v="1"/>
    <n v="2452888"/>
    <n v="842"/>
    <x v="4"/>
    <x v="0"/>
    <n v="8"/>
    <n v="13486.32"/>
    <x v="0"/>
  </r>
  <r>
    <s v="HSBC100782"/>
    <s v="Rohan Mondal"/>
    <n v="69"/>
    <x v="2"/>
    <x v="0"/>
    <x v="1"/>
    <d v="2026-04-13T00:00:00"/>
    <x v="0"/>
    <n v="2109722"/>
    <n v="659"/>
    <x v="7"/>
    <x v="0"/>
    <n v="55"/>
    <n v="9732.0300000000007"/>
    <x v="0"/>
  </r>
  <r>
    <s v="HSBC100783"/>
    <s v="Aarav Roy"/>
    <n v="30"/>
    <x v="3"/>
    <x v="1"/>
    <x v="1"/>
    <d v="2025-03-16T00:00:00"/>
    <x v="1"/>
    <n v="4374741"/>
    <n v="744"/>
    <x v="1"/>
    <x v="0"/>
    <n v="69"/>
    <n v="9409.9699999999993"/>
    <x v="0"/>
  </r>
  <r>
    <s v="HSBC100784"/>
    <s v="Vikram Mondal"/>
    <n v="64"/>
    <x v="2"/>
    <x v="2"/>
    <x v="0"/>
    <d v="2025-01-04T00:00:00"/>
    <x v="1"/>
    <n v="2802192"/>
    <n v="831"/>
    <x v="2"/>
    <x v="2"/>
    <n v="44"/>
    <n v="12092.54"/>
    <x v="1"/>
  </r>
  <r>
    <s v="HSBC100785"/>
    <s v="Priya Das"/>
    <n v="67"/>
    <x v="1"/>
    <x v="3"/>
    <x v="1"/>
    <d v="2025-04-28T00:00:00"/>
    <x v="2"/>
    <n v="385797"/>
    <n v="591"/>
    <x v="3"/>
    <x v="2"/>
    <n v="13"/>
    <n v="1171.94"/>
    <x v="0"/>
  </r>
  <r>
    <s v="HSBC100786"/>
    <s v="Ananya Singh"/>
    <n v="30"/>
    <x v="5"/>
    <x v="0"/>
    <x v="1"/>
    <d v="2026-08-29T00:00:00"/>
    <x v="1"/>
    <n v="2783573"/>
    <n v="791"/>
    <x v="7"/>
    <x v="1"/>
    <n v="93"/>
    <n v="26001.279999999999"/>
    <x v="0"/>
  </r>
  <r>
    <s v="HSBC100787"/>
    <s v="Priya Sen"/>
    <n v="66"/>
    <x v="11"/>
    <x v="3"/>
    <x v="1"/>
    <d v="2026-05-19T00:00:00"/>
    <x v="3"/>
    <n v="1974620"/>
    <n v="691"/>
    <x v="7"/>
    <x v="0"/>
    <n v="20"/>
    <n v="6162.92"/>
    <x v="0"/>
  </r>
  <r>
    <s v="HSBC100788"/>
    <s v="Pooja Patel"/>
    <n v="33"/>
    <x v="9"/>
    <x v="1"/>
    <x v="1"/>
    <d v="2026-07-28T00:00:00"/>
    <x v="1"/>
    <n v="2832229"/>
    <n v="790"/>
    <x v="4"/>
    <x v="3"/>
    <n v="78"/>
    <n v="30580.79"/>
    <x v="0"/>
  </r>
  <r>
    <s v="HSBC100789"/>
    <s v="Vivaan Singh"/>
    <n v="57"/>
    <x v="10"/>
    <x v="1"/>
    <x v="0"/>
    <d v="2026-03-17T00:00:00"/>
    <x v="2"/>
    <n v="3362734"/>
    <n v="818"/>
    <x v="4"/>
    <x v="0"/>
    <n v="32"/>
    <n v="1087.0899999999999"/>
    <x v="0"/>
  </r>
  <r>
    <s v="HSBC100790"/>
    <s v="Meera Iyer"/>
    <n v="58"/>
    <x v="4"/>
    <x v="0"/>
    <x v="1"/>
    <d v="2025-07-13T00:00:00"/>
    <x v="2"/>
    <n v="608062"/>
    <n v="847"/>
    <x v="1"/>
    <x v="2"/>
    <n v="60"/>
    <n v="16276.49"/>
    <x v="2"/>
  </r>
  <r>
    <s v="HSBC100791"/>
    <s v="Neha Roy"/>
    <n v="44"/>
    <x v="5"/>
    <x v="0"/>
    <x v="1"/>
    <d v="2026-01-27T00:00:00"/>
    <x v="2"/>
    <n v="3205251"/>
    <n v="637"/>
    <x v="7"/>
    <x v="0"/>
    <n v="50"/>
    <n v="16115.85"/>
    <x v="0"/>
  </r>
  <r>
    <s v="HSBC100792"/>
    <s v="Arjun Gupta"/>
    <n v="22"/>
    <x v="6"/>
    <x v="1"/>
    <x v="1"/>
    <d v="2025-01-26T00:00:00"/>
    <x v="1"/>
    <n v="2327645"/>
    <n v="613"/>
    <x v="7"/>
    <x v="2"/>
    <n v="27"/>
    <n v="1881"/>
    <x v="0"/>
  </r>
  <r>
    <s v="HSBC100793"/>
    <s v="Priya Banerjee"/>
    <n v="42"/>
    <x v="5"/>
    <x v="1"/>
    <x v="1"/>
    <d v="2026-03-11T00:00:00"/>
    <x v="1"/>
    <n v="1651471"/>
    <n v="842"/>
    <x v="6"/>
    <x v="0"/>
    <n v="120"/>
    <n v="4576.92"/>
    <x v="0"/>
  </r>
  <r>
    <s v="HSBC100794"/>
    <s v="Ishita Sharma"/>
    <n v="37"/>
    <x v="4"/>
    <x v="1"/>
    <x v="3"/>
    <d v="2025-06-22T00:00:00"/>
    <x v="3"/>
    <n v="1966548"/>
    <n v="614"/>
    <x v="5"/>
    <x v="3"/>
    <n v="25"/>
    <n v="2943.98"/>
    <x v="0"/>
  </r>
  <r>
    <s v="HSBC100795"/>
    <s v="Pooja Nair"/>
    <n v="56"/>
    <x v="4"/>
    <x v="1"/>
    <x v="1"/>
    <d v="2025-10-27T00:00:00"/>
    <x v="1"/>
    <n v="1268143"/>
    <n v="850"/>
    <x v="4"/>
    <x v="1"/>
    <n v="52"/>
    <n v="22167.29"/>
    <x v="0"/>
  </r>
  <r>
    <s v="HSBC100796"/>
    <s v="Vivaan Sen"/>
    <n v="34"/>
    <x v="1"/>
    <x v="1"/>
    <x v="3"/>
    <d v="2025-11-22T00:00:00"/>
    <x v="3"/>
    <n v="4350321"/>
    <n v="806"/>
    <x v="3"/>
    <x v="3"/>
    <n v="68"/>
    <n v="12386.13"/>
    <x v="0"/>
  </r>
  <r>
    <s v="HSBC100797"/>
    <s v="Varun Chatterjee"/>
    <n v="30"/>
    <x v="5"/>
    <x v="2"/>
    <x v="2"/>
    <d v="2026-02-14T00:00:00"/>
    <x v="2"/>
    <n v="4408527"/>
    <n v="604"/>
    <x v="1"/>
    <x v="2"/>
    <n v="21"/>
    <n v="47992.08"/>
    <x v="0"/>
  </r>
  <r>
    <s v="HSBC100798"/>
    <s v="Meera Mondal"/>
    <n v="55"/>
    <x v="2"/>
    <x v="1"/>
    <x v="1"/>
    <d v="2025-04-28T00:00:00"/>
    <x v="4"/>
    <n v="2137145"/>
    <n v="813"/>
    <x v="4"/>
    <x v="4"/>
    <n v="18"/>
    <n v="11082.27"/>
    <x v="0"/>
  </r>
  <r>
    <s v="HSBC100799"/>
    <s v="Rahul Mehta"/>
    <n v="45"/>
    <x v="5"/>
    <x v="1"/>
    <x v="3"/>
    <d v="2025-08-13T00:00:00"/>
    <x v="4"/>
    <n v="2347711"/>
    <n v="638"/>
    <x v="6"/>
    <x v="3"/>
    <n v="39"/>
    <n v="19319.23"/>
    <x v="0"/>
  </r>
  <r>
    <s v="HSBC100800"/>
    <s v="Nikhil Sen"/>
    <n v="23"/>
    <x v="7"/>
    <x v="0"/>
    <x v="1"/>
    <d v="2026-06-16T00:00:00"/>
    <x v="1"/>
    <n v="287361"/>
    <n v="830"/>
    <x v="2"/>
    <x v="0"/>
    <n v="15"/>
    <n v="30656.85"/>
    <x v="0"/>
  </r>
  <r>
    <s v="HSBC100801"/>
    <s v="Arjun Verma"/>
    <n v="67"/>
    <x v="1"/>
    <x v="0"/>
    <x v="0"/>
    <d v="2025-04-23T00:00:00"/>
    <x v="2"/>
    <n v="3148845"/>
    <n v="665"/>
    <x v="4"/>
    <x v="1"/>
    <n v="53"/>
    <n v="16028.89"/>
    <x v="0"/>
  </r>
  <r>
    <s v="HSBC100802"/>
    <s v="Arjun Roy"/>
    <n v="58"/>
    <x v="8"/>
    <x v="2"/>
    <x v="3"/>
    <d v="2025-05-20T00:00:00"/>
    <x v="3"/>
    <n v="3713227"/>
    <n v="830"/>
    <x v="2"/>
    <x v="0"/>
    <n v="38"/>
    <n v="5982.58"/>
    <x v="0"/>
  </r>
  <r>
    <s v="HSBC100803"/>
    <s v="Priya Mehta"/>
    <n v="37"/>
    <x v="8"/>
    <x v="0"/>
    <x v="1"/>
    <d v="2026-07-13T00:00:00"/>
    <x v="1"/>
    <n v="2707856"/>
    <n v="759"/>
    <x v="0"/>
    <x v="0"/>
    <n v="48"/>
    <n v="4920.62"/>
    <x v="0"/>
  </r>
  <r>
    <s v="HSBC100804"/>
    <s v="Aditya Banerjee"/>
    <n v="32"/>
    <x v="7"/>
    <x v="1"/>
    <x v="1"/>
    <d v="2025-01-01T00:00:00"/>
    <x v="0"/>
    <n v="2011856"/>
    <n v="786"/>
    <x v="7"/>
    <x v="3"/>
    <n v="52"/>
    <n v="8236.08"/>
    <x v="0"/>
  </r>
  <r>
    <s v="HSBC100805"/>
    <s v="Rohan Gupta"/>
    <n v="44"/>
    <x v="3"/>
    <x v="2"/>
    <x v="0"/>
    <d v="2025-03-31T00:00:00"/>
    <x v="1"/>
    <n v="2591102"/>
    <n v="728"/>
    <x v="7"/>
    <x v="1"/>
    <n v="88"/>
    <n v="20669.47"/>
    <x v="0"/>
  </r>
  <r>
    <s v="HSBC100806"/>
    <s v="Vikram Patel"/>
    <n v="49"/>
    <x v="8"/>
    <x v="0"/>
    <x v="1"/>
    <d v="2025-11-16T00:00:00"/>
    <x v="1"/>
    <n v="3821488"/>
    <n v="650"/>
    <x v="1"/>
    <x v="4"/>
    <n v="72"/>
    <n v="4006.17"/>
    <x v="1"/>
  </r>
  <r>
    <s v="HSBC100807"/>
    <s v="Priya Gupta"/>
    <n v="63"/>
    <x v="7"/>
    <x v="1"/>
    <x v="1"/>
    <d v="2026-07-04T00:00:00"/>
    <x v="1"/>
    <n v="250037"/>
    <n v="700"/>
    <x v="5"/>
    <x v="0"/>
    <n v="28"/>
    <n v="17761.02"/>
    <x v="0"/>
  </r>
  <r>
    <s v="HSBC100808"/>
    <s v="Pooja Roy"/>
    <n v="45"/>
    <x v="0"/>
    <x v="0"/>
    <x v="1"/>
    <d v="2025-05-19T00:00:00"/>
    <x v="0"/>
    <n v="3867177"/>
    <n v="832"/>
    <x v="5"/>
    <x v="1"/>
    <n v="85"/>
    <n v="12566.17"/>
    <x v="0"/>
  </r>
  <r>
    <s v="HSBC100809"/>
    <s v="Sneha Roy"/>
    <n v="56"/>
    <x v="2"/>
    <x v="2"/>
    <x v="1"/>
    <d v="2026-05-26T00:00:00"/>
    <x v="1"/>
    <n v="871531"/>
    <n v="672"/>
    <x v="1"/>
    <x v="4"/>
    <n v="16"/>
    <n v="2401.9299999999998"/>
    <x v="0"/>
  </r>
  <r>
    <s v="HSBC100810"/>
    <s v="Sanjay Patel"/>
    <n v="46"/>
    <x v="5"/>
    <x v="1"/>
    <x v="0"/>
    <d v="2025-09-16T00:00:00"/>
    <x v="3"/>
    <n v="903668"/>
    <n v="835"/>
    <x v="1"/>
    <x v="0"/>
    <n v="118"/>
    <n v="16877.080000000002"/>
    <x v="0"/>
  </r>
  <r>
    <s v="HSBC100811"/>
    <s v="Karan Roy"/>
    <n v="58"/>
    <x v="2"/>
    <x v="1"/>
    <x v="1"/>
    <d v="2025-01-10T00:00:00"/>
    <x v="3"/>
    <n v="3654158"/>
    <n v="833"/>
    <x v="6"/>
    <x v="1"/>
    <n v="16"/>
    <n v="10394.34"/>
    <x v="0"/>
  </r>
  <r>
    <s v="HSBC100812"/>
    <s v="Pooja Mondal"/>
    <n v="21"/>
    <x v="7"/>
    <x v="1"/>
    <x v="1"/>
    <d v="2025-09-18T00:00:00"/>
    <x v="1"/>
    <n v="2906040"/>
    <n v="638"/>
    <x v="2"/>
    <x v="3"/>
    <n v="35"/>
    <n v="5023.84"/>
    <x v="0"/>
  </r>
  <r>
    <s v="HSBC100813"/>
    <s v="Rohan Malhotra"/>
    <n v="40"/>
    <x v="11"/>
    <x v="1"/>
    <x v="2"/>
    <d v="2025-06-21T00:00:00"/>
    <x v="1"/>
    <n v="953645"/>
    <n v="648"/>
    <x v="1"/>
    <x v="0"/>
    <n v="17"/>
    <n v="10237.370000000001"/>
    <x v="0"/>
  </r>
  <r>
    <s v="HSBC100814"/>
    <s v="Varun Roy"/>
    <n v="48"/>
    <x v="5"/>
    <x v="1"/>
    <x v="1"/>
    <d v="2025-01-13T00:00:00"/>
    <x v="4"/>
    <n v="1555927"/>
    <n v="665"/>
    <x v="2"/>
    <x v="0"/>
    <n v="73"/>
    <n v="5233.1400000000003"/>
    <x v="0"/>
  </r>
  <r>
    <s v="HSBC100815"/>
    <s v="Vivaan Nair"/>
    <n v="36"/>
    <x v="0"/>
    <x v="0"/>
    <x v="1"/>
    <d v="2025-06-17T00:00:00"/>
    <x v="1"/>
    <n v="2871872"/>
    <n v="806"/>
    <x v="4"/>
    <x v="1"/>
    <n v="99"/>
    <n v="11615.04"/>
    <x v="0"/>
  </r>
  <r>
    <s v="HSBC100816"/>
    <s v="Amit Mondal"/>
    <n v="67"/>
    <x v="0"/>
    <x v="1"/>
    <x v="0"/>
    <d v="2026-08-19T00:00:00"/>
    <x v="5"/>
    <n v="843975"/>
    <n v="660"/>
    <x v="4"/>
    <x v="0"/>
    <n v="52"/>
    <n v="7507.38"/>
    <x v="0"/>
  </r>
  <r>
    <s v="HSBC100817"/>
    <s v="Nikhil Sharma"/>
    <n v="37"/>
    <x v="2"/>
    <x v="3"/>
    <x v="1"/>
    <d v="2025-11-17T00:00:00"/>
    <x v="1"/>
    <n v="3115728"/>
    <n v="693"/>
    <x v="0"/>
    <x v="4"/>
    <n v="93"/>
    <n v="1796.47"/>
    <x v="0"/>
  </r>
  <r>
    <s v="HSBC100818"/>
    <s v="Pooja Mondal"/>
    <n v="60"/>
    <x v="10"/>
    <x v="2"/>
    <x v="0"/>
    <d v="2025-11-15T00:00:00"/>
    <x v="1"/>
    <n v="4233063"/>
    <n v="763"/>
    <x v="2"/>
    <x v="0"/>
    <n v="103"/>
    <n v="7747.01"/>
    <x v="0"/>
  </r>
  <r>
    <s v="HSBC100819"/>
    <s v="Sneha Khan"/>
    <n v="48"/>
    <x v="5"/>
    <x v="0"/>
    <x v="3"/>
    <d v="2025-11-25T00:00:00"/>
    <x v="4"/>
    <n v="2532373"/>
    <n v="633"/>
    <x v="6"/>
    <x v="2"/>
    <n v="82"/>
    <n v="5626.16"/>
    <x v="0"/>
  </r>
  <r>
    <s v="HSBC100820"/>
    <s v="Rahul Sen"/>
    <n v="32"/>
    <x v="9"/>
    <x v="2"/>
    <x v="1"/>
    <d v="2026-07-04T00:00:00"/>
    <x v="1"/>
    <n v="3090152"/>
    <n v="776"/>
    <x v="4"/>
    <x v="4"/>
    <n v="12"/>
    <n v="17454.73"/>
    <x v="0"/>
  </r>
  <r>
    <s v="HSBC100821"/>
    <s v="Arjun Malhotra"/>
    <n v="47"/>
    <x v="0"/>
    <x v="1"/>
    <x v="2"/>
    <d v="2026-02-23T00:00:00"/>
    <x v="1"/>
    <n v="2800552"/>
    <n v="759"/>
    <x v="7"/>
    <x v="1"/>
    <n v="83"/>
    <n v="22556.01"/>
    <x v="0"/>
  </r>
  <r>
    <s v="HSBC100822"/>
    <s v="Nikhil Malhotra"/>
    <n v="62"/>
    <x v="11"/>
    <x v="1"/>
    <x v="1"/>
    <d v="2026-08-29T00:00:00"/>
    <x v="1"/>
    <n v="1102224"/>
    <n v="801"/>
    <x v="7"/>
    <x v="4"/>
    <n v="48"/>
    <n v="5247.72"/>
    <x v="0"/>
  </r>
  <r>
    <s v="HSBC100823"/>
    <s v="Sneha Roy"/>
    <n v="67"/>
    <x v="1"/>
    <x v="0"/>
    <x v="1"/>
    <d v="2025-04-05T00:00:00"/>
    <x v="1"/>
    <n v="2642735"/>
    <n v="823"/>
    <x v="4"/>
    <x v="2"/>
    <n v="22"/>
    <n v="3909.38"/>
    <x v="0"/>
  </r>
  <r>
    <s v="HSBC100824"/>
    <s v="Sanjay Patel"/>
    <n v="50"/>
    <x v="3"/>
    <x v="2"/>
    <x v="3"/>
    <d v="2026-08-04T00:00:00"/>
    <x v="2"/>
    <n v="1611968"/>
    <n v="733"/>
    <x v="4"/>
    <x v="2"/>
    <n v="120"/>
    <n v="1534.31"/>
    <x v="0"/>
  </r>
  <r>
    <s v="HSBC100825"/>
    <s v="Aarav Das"/>
    <n v="61"/>
    <x v="10"/>
    <x v="2"/>
    <x v="3"/>
    <d v="2025-11-14T00:00:00"/>
    <x v="4"/>
    <n v="3872546"/>
    <n v="714"/>
    <x v="4"/>
    <x v="0"/>
    <n v="49"/>
    <n v="3809.53"/>
    <x v="2"/>
  </r>
  <r>
    <s v="HSBC100826"/>
    <s v="Varun Sharma"/>
    <n v="54"/>
    <x v="1"/>
    <x v="1"/>
    <x v="1"/>
    <d v="2025-08-24T00:00:00"/>
    <x v="1"/>
    <n v="3856940"/>
    <n v="587"/>
    <x v="2"/>
    <x v="0"/>
    <n v="52"/>
    <n v="6377.73"/>
    <x v="0"/>
  </r>
  <r>
    <s v="HSBC100827"/>
    <s v="Kavya Chatterjee"/>
    <n v="57"/>
    <x v="10"/>
    <x v="3"/>
    <x v="2"/>
    <d v="2025-11-30T00:00:00"/>
    <x v="2"/>
    <n v="3318929"/>
    <n v="707"/>
    <x v="7"/>
    <x v="3"/>
    <n v="79"/>
    <n v="2194.64"/>
    <x v="0"/>
  </r>
  <r>
    <s v="HSBC100828"/>
    <s v="Sneha Sharma"/>
    <n v="26"/>
    <x v="11"/>
    <x v="1"/>
    <x v="3"/>
    <d v="2026-01-11T00:00:00"/>
    <x v="2"/>
    <n v="3850200"/>
    <n v="635"/>
    <x v="7"/>
    <x v="4"/>
    <n v="1"/>
    <n v="22874.85"/>
    <x v="1"/>
  </r>
  <r>
    <s v="HSBC100829"/>
    <s v="Sanjay Gupta"/>
    <n v="27"/>
    <x v="2"/>
    <x v="2"/>
    <x v="3"/>
    <d v="2026-04-04T00:00:00"/>
    <x v="1"/>
    <n v="809031"/>
    <n v="705"/>
    <x v="3"/>
    <x v="3"/>
    <n v="66"/>
    <n v="11793.1"/>
    <x v="0"/>
  </r>
  <r>
    <s v="HSBC100830"/>
    <s v="Arjun Roy"/>
    <n v="52"/>
    <x v="4"/>
    <x v="3"/>
    <x v="2"/>
    <d v="2025-05-17T00:00:00"/>
    <x v="1"/>
    <n v="2951243"/>
    <n v="738"/>
    <x v="4"/>
    <x v="2"/>
    <n v="64"/>
    <n v="7891.67"/>
    <x v="0"/>
  </r>
  <r>
    <s v="HSBC100831"/>
    <s v="Meera Verma"/>
    <n v="52"/>
    <x v="5"/>
    <x v="1"/>
    <x v="1"/>
    <d v="2026-08-11T00:00:00"/>
    <x v="3"/>
    <n v="2369228"/>
    <n v="638"/>
    <x v="0"/>
    <x v="0"/>
    <n v="8"/>
    <n v="8799.9"/>
    <x v="0"/>
  </r>
  <r>
    <s v="HSBC100832"/>
    <s v="Kavya Gupta"/>
    <n v="45"/>
    <x v="7"/>
    <x v="2"/>
    <x v="1"/>
    <d v="2026-07-01T00:00:00"/>
    <x v="4"/>
    <n v="456384"/>
    <n v="637"/>
    <x v="4"/>
    <x v="0"/>
    <n v="86"/>
    <n v="12349.21"/>
    <x v="0"/>
  </r>
  <r>
    <s v="HSBC100833"/>
    <s v="Kavya Nair"/>
    <n v="53"/>
    <x v="6"/>
    <x v="1"/>
    <x v="3"/>
    <d v="2026-05-28T00:00:00"/>
    <x v="2"/>
    <n v="3777089"/>
    <n v="719"/>
    <x v="6"/>
    <x v="0"/>
    <n v="25"/>
    <n v="17409.12"/>
    <x v="0"/>
  </r>
  <r>
    <s v="HSBC100834"/>
    <s v="Ananya Patel"/>
    <n v="27"/>
    <x v="9"/>
    <x v="1"/>
    <x v="1"/>
    <d v="2025-10-23T00:00:00"/>
    <x v="2"/>
    <n v="4385554"/>
    <n v="755"/>
    <x v="6"/>
    <x v="1"/>
    <n v="66"/>
    <n v="20940.87"/>
    <x v="0"/>
  </r>
  <r>
    <s v="HSBC100835"/>
    <s v="Neha Banerjee"/>
    <n v="32"/>
    <x v="1"/>
    <x v="1"/>
    <x v="2"/>
    <d v="2025-11-16T00:00:00"/>
    <x v="1"/>
    <n v="3238088"/>
    <n v="687"/>
    <x v="7"/>
    <x v="2"/>
    <n v="115"/>
    <n v="6473.11"/>
    <x v="0"/>
  </r>
  <r>
    <s v="HSBC100836"/>
    <s v="Meera Sen"/>
    <n v="36"/>
    <x v="5"/>
    <x v="0"/>
    <x v="1"/>
    <d v="2026-07-26T00:00:00"/>
    <x v="2"/>
    <n v="1229907"/>
    <n v="790"/>
    <x v="4"/>
    <x v="0"/>
    <n v="73"/>
    <n v="7715.36"/>
    <x v="0"/>
  </r>
  <r>
    <s v="HSBC100837"/>
    <s v="Varun Iyer"/>
    <n v="36"/>
    <x v="9"/>
    <x v="3"/>
    <x v="1"/>
    <d v="2025-12-15T00:00:00"/>
    <x v="1"/>
    <n v="463968"/>
    <n v="653"/>
    <x v="5"/>
    <x v="2"/>
    <n v="73"/>
    <n v="10738.8"/>
    <x v="0"/>
  </r>
  <r>
    <s v="HSBC100838"/>
    <s v="Priya Das"/>
    <n v="63"/>
    <x v="4"/>
    <x v="0"/>
    <x v="1"/>
    <d v="2025-08-17T00:00:00"/>
    <x v="2"/>
    <n v="544957"/>
    <n v="746"/>
    <x v="6"/>
    <x v="0"/>
    <n v="77"/>
    <n v="7391.61"/>
    <x v="0"/>
  </r>
  <r>
    <s v="HSBC100839"/>
    <s v="Aditya Iyer"/>
    <n v="56"/>
    <x v="6"/>
    <x v="1"/>
    <x v="3"/>
    <d v="2025-09-27T00:00:00"/>
    <x v="1"/>
    <n v="2151737"/>
    <n v="812"/>
    <x v="4"/>
    <x v="4"/>
    <n v="70"/>
    <n v="22380.23"/>
    <x v="1"/>
  </r>
  <r>
    <s v="HSBC100840"/>
    <s v="Ananya Sharma"/>
    <n v="33"/>
    <x v="9"/>
    <x v="2"/>
    <x v="1"/>
    <d v="2025-10-18T00:00:00"/>
    <x v="1"/>
    <n v="2597855"/>
    <n v="761"/>
    <x v="0"/>
    <x v="2"/>
    <n v="94"/>
    <n v="32490.03"/>
    <x v="0"/>
  </r>
  <r>
    <s v="HSBC100841"/>
    <s v="Sneha Gupta"/>
    <n v="27"/>
    <x v="9"/>
    <x v="3"/>
    <x v="2"/>
    <d v="2025-06-14T00:00:00"/>
    <x v="1"/>
    <n v="1714458"/>
    <n v="701"/>
    <x v="1"/>
    <x v="3"/>
    <n v="79"/>
    <n v="12852.29"/>
    <x v="0"/>
  </r>
  <r>
    <s v="HSBC100842"/>
    <s v="Sanjay Chatterjee"/>
    <n v="56"/>
    <x v="1"/>
    <x v="1"/>
    <x v="1"/>
    <d v="2025-01-05T00:00:00"/>
    <x v="0"/>
    <n v="2552743"/>
    <n v="782"/>
    <x v="4"/>
    <x v="1"/>
    <n v="51"/>
    <n v="3450.93"/>
    <x v="0"/>
  </r>
  <r>
    <s v="HSBC100843"/>
    <s v="Sneha Mondal"/>
    <n v="67"/>
    <x v="8"/>
    <x v="3"/>
    <x v="1"/>
    <d v="2026-01-14T00:00:00"/>
    <x v="1"/>
    <n v="1235461"/>
    <n v="608"/>
    <x v="0"/>
    <x v="3"/>
    <n v="53"/>
    <n v="15272.68"/>
    <x v="0"/>
  </r>
  <r>
    <s v="HSBC100844"/>
    <s v="Nikhil Banerjee"/>
    <n v="29"/>
    <x v="6"/>
    <x v="1"/>
    <x v="1"/>
    <d v="2025-03-19T00:00:00"/>
    <x v="1"/>
    <n v="2871021"/>
    <n v="781"/>
    <x v="7"/>
    <x v="2"/>
    <n v="15"/>
    <n v="13398.31"/>
    <x v="0"/>
  </r>
  <r>
    <s v="HSBC100845"/>
    <s v="Aditya Nair"/>
    <n v="52"/>
    <x v="5"/>
    <x v="2"/>
    <x v="2"/>
    <d v="2026-02-14T00:00:00"/>
    <x v="1"/>
    <n v="3605361"/>
    <n v="672"/>
    <x v="7"/>
    <x v="0"/>
    <n v="50"/>
    <n v="3160.09"/>
    <x v="0"/>
  </r>
  <r>
    <s v="HSBC100846"/>
    <s v="Nikhil Sen"/>
    <n v="31"/>
    <x v="4"/>
    <x v="1"/>
    <x v="1"/>
    <d v="2026-07-28T00:00:00"/>
    <x v="1"/>
    <n v="2056423"/>
    <n v="755"/>
    <x v="3"/>
    <x v="2"/>
    <n v="71"/>
    <n v="13382.86"/>
    <x v="0"/>
  </r>
  <r>
    <s v="HSBC100847"/>
    <s v="Rohan Roy"/>
    <n v="28"/>
    <x v="6"/>
    <x v="1"/>
    <x v="1"/>
    <d v="2025-05-12T00:00:00"/>
    <x v="4"/>
    <n v="2200408"/>
    <n v="790"/>
    <x v="2"/>
    <x v="1"/>
    <n v="75"/>
    <n v="5057.3599999999997"/>
    <x v="0"/>
  </r>
  <r>
    <s v="HSBC100848"/>
    <s v="Sanjay Sen"/>
    <n v="53"/>
    <x v="2"/>
    <x v="1"/>
    <x v="1"/>
    <d v="2026-08-24T00:00:00"/>
    <x v="2"/>
    <n v="877915"/>
    <n v="763"/>
    <x v="6"/>
    <x v="2"/>
    <n v="104"/>
    <n v="19602.23"/>
    <x v="0"/>
  </r>
  <r>
    <s v="HSBC100849"/>
    <s v="Priya Malhotra"/>
    <n v="43"/>
    <x v="11"/>
    <x v="0"/>
    <x v="1"/>
    <d v="2025-02-11T00:00:00"/>
    <x v="1"/>
    <n v="3844128"/>
    <n v="674"/>
    <x v="2"/>
    <x v="0"/>
    <n v="38"/>
    <n v="15142.85"/>
    <x v="0"/>
  </r>
  <r>
    <s v="HSBC100850"/>
    <s v="Rohan Roy"/>
    <n v="45"/>
    <x v="2"/>
    <x v="1"/>
    <x v="3"/>
    <d v="2025-03-30T00:00:00"/>
    <x v="1"/>
    <n v="1426957"/>
    <n v="716"/>
    <x v="4"/>
    <x v="3"/>
    <n v="40"/>
    <n v="11317.84"/>
    <x v="0"/>
  </r>
  <r>
    <s v="HSBC100851"/>
    <s v="Rahul Banerjee"/>
    <n v="28"/>
    <x v="8"/>
    <x v="1"/>
    <x v="3"/>
    <d v="2026-02-06T00:00:00"/>
    <x v="4"/>
    <n v="1656427"/>
    <n v="816"/>
    <x v="2"/>
    <x v="4"/>
    <n v="66"/>
    <n v="9325.18"/>
    <x v="0"/>
  </r>
  <r>
    <s v="HSBC100852"/>
    <s v="Arjun Nair"/>
    <n v="65"/>
    <x v="11"/>
    <x v="0"/>
    <x v="1"/>
    <d v="2025-10-23T00:00:00"/>
    <x v="1"/>
    <n v="3739550"/>
    <n v="844"/>
    <x v="6"/>
    <x v="3"/>
    <n v="115"/>
    <n v="953.33"/>
    <x v="0"/>
  </r>
  <r>
    <s v="HSBC100853"/>
    <s v="Karan Patel"/>
    <n v="42"/>
    <x v="4"/>
    <x v="2"/>
    <x v="2"/>
    <d v="2025-10-22T00:00:00"/>
    <x v="1"/>
    <n v="4145090"/>
    <n v="714"/>
    <x v="6"/>
    <x v="5"/>
    <n v="112"/>
    <n v="2502.41"/>
    <x v="0"/>
  </r>
  <r>
    <s v="HSBC100854"/>
    <s v="Amit Mondal"/>
    <n v="24"/>
    <x v="1"/>
    <x v="1"/>
    <x v="3"/>
    <d v="2026-06-10T00:00:00"/>
    <x v="1"/>
    <n v="2095786"/>
    <n v="723"/>
    <x v="4"/>
    <x v="0"/>
    <n v="39"/>
    <n v="7806.08"/>
    <x v="0"/>
  </r>
  <r>
    <s v="HSBC100855"/>
    <s v="Aarav Mehta"/>
    <n v="60"/>
    <x v="1"/>
    <x v="1"/>
    <x v="1"/>
    <d v="2026-02-26T00:00:00"/>
    <x v="1"/>
    <n v="3015013"/>
    <n v="598"/>
    <x v="7"/>
    <x v="1"/>
    <n v="74"/>
    <n v="44150.2"/>
    <x v="1"/>
  </r>
  <r>
    <s v="HSBC100856"/>
    <s v="Arjun Gupta"/>
    <n v="23"/>
    <x v="4"/>
    <x v="1"/>
    <x v="0"/>
    <d v="2025-01-23T00:00:00"/>
    <x v="1"/>
    <n v="286382"/>
    <n v="810"/>
    <x v="6"/>
    <x v="2"/>
    <n v="108"/>
    <n v="16202.41"/>
    <x v="0"/>
  </r>
  <r>
    <s v="HSBC100857"/>
    <s v="Neha Gupta"/>
    <n v="49"/>
    <x v="10"/>
    <x v="1"/>
    <x v="3"/>
    <d v="2026-07-29T00:00:00"/>
    <x v="2"/>
    <n v="1112219"/>
    <n v="713"/>
    <x v="5"/>
    <x v="2"/>
    <n v="17"/>
    <n v="60159.14"/>
    <x v="1"/>
  </r>
  <r>
    <s v="HSBC100858"/>
    <s v="Pooja Khan"/>
    <n v="61"/>
    <x v="4"/>
    <x v="2"/>
    <x v="1"/>
    <d v="2025-05-23T00:00:00"/>
    <x v="2"/>
    <n v="1968303"/>
    <n v="693"/>
    <x v="5"/>
    <x v="3"/>
    <n v="7"/>
    <n v="9770.6299999999992"/>
    <x v="0"/>
  </r>
  <r>
    <s v="HSBC100859"/>
    <s v="Ishita Khan"/>
    <n v="49"/>
    <x v="2"/>
    <x v="2"/>
    <x v="1"/>
    <d v="2025-05-25T00:00:00"/>
    <x v="3"/>
    <n v="4302127"/>
    <n v="718"/>
    <x v="1"/>
    <x v="4"/>
    <n v="118"/>
    <n v="8669.85"/>
    <x v="0"/>
  </r>
  <r>
    <s v="HSBC100860"/>
    <s v="Varun Mehta"/>
    <n v="54"/>
    <x v="8"/>
    <x v="0"/>
    <x v="3"/>
    <d v="2025-08-13T00:00:00"/>
    <x v="1"/>
    <n v="1524856"/>
    <n v="704"/>
    <x v="6"/>
    <x v="4"/>
    <n v="104"/>
    <n v="39989.870000000003"/>
    <x v="1"/>
  </r>
  <r>
    <s v="HSBC100861"/>
    <s v="Arjun Sen"/>
    <n v="54"/>
    <x v="0"/>
    <x v="1"/>
    <x v="2"/>
    <d v="2026-05-18T00:00:00"/>
    <x v="1"/>
    <n v="4051082"/>
    <n v="783"/>
    <x v="3"/>
    <x v="1"/>
    <n v="39"/>
    <n v="7576.64"/>
    <x v="0"/>
  </r>
  <r>
    <s v="HSBC100862"/>
    <s v="Ishita Banerjee"/>
    <n v="48"/>
    <x v="1"/>
    <x v="2"/>
    <x v="1"/>
    <d v="2025-04-14T00:00:00"/>
    <x v="1"/>
    <n v="3596668"/>
    <n v="640"/>
    <x v="1"/>
    <x v="0"/>
    <n v="68"/>
    <n v="3178.63"/>
    <x v="0"/>
  </r>
  <r>
    <s v="HSBC100863"/>
    <s v="Karan Mondal"/>
    <n v="33"/>
    <x v="3"/>
    <x v="0"/>
    <x v="1"/>
    <d v="2025-02-08T00:00:00"/>
    <x v="0"/>
    <n v="4179268"/>
    <n v="829"/>
    <x v="7"/>
    <x v="1"/>
    <n v="35"/>
    <n v="12488.85"/>
    <x v="0"/>
  </r>
  <r>
    <s v="HSBC100864"/>
    <s v="Pooja Mehta"/>
    <n v="35"/>
    <x v="8"/>
    <x v="2"/>
    <x v="1"/>
    <d v="2025-07-17T00:00:00"/>
    <x v="2"/>
    <n v="2957260"/>
    <n v="592"/>
    <x v="6"/>
    <x v="2"/>
    <n v="51"/>
    <n v="29104.26"/>
    <x v="0"/>
  </r>
  <r>
    <s v="HSBC100865"/>
    <s v="Priya Malhotra"/>
    <n v="43"/>
    <x v="7"/>
    <x v="0"/>
    <x v="0"/>
    <d v="2026-08-02T00:00:00"/>
    <x v="4"/>
    <n v="3455677"/>
    <n v="834"/>
    <x v="5"/>
    <x v="0"/>
    <n v="47"/>
    <n v="3762.18"/>
    <x v="0"/>
  </r>
  <r>
    <s v="HSBC100866"/>
    <s v="Meera Gupta"/>
    <n v="64"/>
    <x v="8"/>
    <x v="2"/>
    <x v="0"/>
    <d v="2026-01-26T00:00:00"/>
    <x v="1"/>
    <n v="2756068"/>
    <n v="664"/>
    <x v="3"/>
    <x v="1"/>
    <n v="36"/>
    <n v="16622.22"/>
    <x v="0"/>
  </r>
  <r>
    <s v="HSBC100867"/>
    <s v="Priya Singh"/>
    <n v="46"/>
    <x v="8"/>
    <x v="0"/>
    <x v="3"/>
    <d v="2025-06-28T00:00:00"/>
    <x v="1"/>
    <n v="1885407"/>
    <n v="599"/>
    <x v="4"/>
    <x v="3"/>
    <n v="64"/>
    <n v="8120.13"/>
    <x v="0"/>
  </r>
  <r>
    <s v="HSBC100868"/>
    <s v="Sneha Gupta"/>
    <n v="24"/>
    <x v="9"/>
    <x v="1"/>
    <x v="1"/>
    <d v="2026-07-08T00:00:00"/>
    <x v="1"/>
    <n v="4342550"/>
    <n v="629"/>
    <x v="1"/>
    <x v="2"/>
    <n v="95"/>
    <n v="14384.65"/>
    <x v="0"/>
  </r>
  <r>
    <s v="HSBC100869"/>
    <s v="Ishita Singh"/>
    <n v="46"/>
    <x v="8"/>
    <x v="3"/>
    <x v="2"/>
    <d v="2026-03-24T00:00:00"/>
    <x v="2"/>
    <n v="733075"/>
    <n v="743"/>
    <x v="3"/>
    <x v="4"/>
    <n v="89"/>
    <n v="12446.7"/>
    <x v="0"/>
  </r>
  <r>
    <s v="HSBC100870"/>
    <s v="Sneha Roy"/>
    <n v="60"/>
    <x v="1"/>
    <x v="0"/>
    <x v="2"/>
    <d v="2026-05-15T00:00:00"/>
    <x v="3"/>
    <n v="4209770"/>
    <n v="671"/>
    <x v="6"/>
    <x v="1"/>
    <n v="105"/>
    <n v="5796.33"/>
    <x v="0"/>
  </r>
  <r>
    <s v="HSBC100871"/>
    <s v="Ananya Roy"/>
    <n v="29"/>
    <x v="0"/>
    <x v="0"/>
    <x v="1"/>
    <d v="2025-01-15T00:00:00"/>
    <x v="0"/>
    <n v="2027310"/>
    <n v="667"/>
    <x v="0"/>
    <x v="2"/>
    <n v="13"/>
    <n v="8010.45"/>
    <x v="0"/>
  </r>
  <r>
    <s v="HSBC100872"/>
    <s v="Amit Banerjee"/>
    <n v="25"/>
    <x v="0"/>
    <x v="1"/>
    <x v="1"/>
    <d v="2025-10-16T00:00:00"/>
    <x v="2"/>
    <n v="577370"/>
    <n v="648"/>
    <x v="3"/>
    <x v="2"/>
    <n v="18"/>
    <n v="6180.23"/>
    <x v="0"/>
  </r>
  <r>
    <s v="HSBC100873"/>
    <s v="Ananya Singh"/>
    <n v="52"/>
    <x v="8"/>
    <x v="0"/>
    <x v="3"/>
    <d v="2026-04-23T00:00:00"/>
    <x v="1"/>
    <n v="3178751"/>
    <n v="616"/>
    <x v="3"/>
    <x v="4"/>
    <n v="21"/>
    <n v="10144.49"/>
    <x v="0"/>
  </r>
  <r>
    <s v="HSBC100874"/>
    <s v="Arjun Das"/>
    <n v="40"/>
    <x v="7"/>
    <x v="0"/>
    <x v="0"/>
    <d v="2025-08-19T00:00:00"/>
    <x v="0"/>
    <n v="2414533"/>
    <n v="832"/>
    <x v="7"/>
    <x v="4"/>
    <n v="112"/>
    <n v="3683.42"/>
    <x v="0"/>
  </r>
  <r>
    <s v="HSBC100875"/>
    <s v="Aarav Chatterjee"/>
    <n v="70"/>
    <x v="11"/>
    <x v="1"/>
    <x v="2"/>
    <d v="2026-02-24T00:00:00"/>
    <x v="2"/>
    <n v="1083142"/>
    <n v="831"/>
    <x v="5"/>
    <x v="4"/>
    <n v="65"/>
    <n v="4734.17"/>
    <x v="0"/>
  </r>
  <r>
    <s v="HSBC100876"/>
    <s v="Karan Gupta"/>
    <n v="31"/>
    <x v="1"/>
    <x v="1"/>
    <x v="2"/>
    <d v="2025-06-06T00:00:00"/>
    <x v="1"/>
    <n v="3932796"/>
    <n v="719"/>
    <x v="4"/>
    <x v="1"/>
    <n v="100"/>
    <n v="5798.42"/>
    <x v="1"/>
  </r>
  <r>
    <s v="HSBC100877"/>
    <s v="Kavya Das"/>
    <n v="35"/>
    <x v="1"/>
    <x v="0"/>
    <x v="1"/>
    <d v="2026-07-04T00:00:00"/>
    <x v="1"/>
    <n v="1092653"/>
    <n v="747"/>
    <x v="6"/>
    <x v="4"/>
    <n v="114"/>
    <n v="13511.39"/>
    <x v="0"/>
  </r>
  <r>
    <s v="HSBC100878"/>
    <s v="Ananya Roy"/>
    <n v="52"/>
    <x v="7"/>
    <x v="2"/>
    <x v="2"/>
    <d v="2026-03-17T00:00:00"/>
    <x v="1"/>
    <n v="2086517"/>
    <n v="633"/>
    <x v="3"/>
    <x v="3"/>
    <n v="8"/>
    <n v="2025.74"/>
    <x v="0"/>
  </r>
  <r>
    <s v="HSBC100879"/>
    <s v="Kavya Malhotra"/>
    <n v="48"/>
    <x v="6"/>
    <x v="0"/>
    <x v="0"/>
    <d v="2025-04-07T00:00:00"/>
    <x v="1"/>
    <n v="601637"/>
    <n v="757"/>
    <x v="6"/>
    <x v="2"/>
    <n v="116"/>
    <n v="8002.54"/>
    <x v="0"/>
  </r>
  <r>
    <s v="HSBC100880"/>
    <s v="Karan Sen"/>
    <n v="42"/>
    <x v="2"/>
    <x v="1"/>
    <x v="2"/>
    <d v="2026-02-15T00:00:00"/>
    <x v="1"/>
    <n v="427946"/>
    <n v="685"/>
    <x v="5"/>
    <x v="4"/>
    <n v="48"/>
    <n v="4257.26"/>
    <x v="0"/>
  </r>
  <r>
    <s v="HSBC100881"/>
    <s v="Priya Banerjee"/>
    <n v="61"/>
    <x v="7"/>
    <x v="0"/>
    <x v="3"/>
    <d v="2025-10-16T00:00:00"/>
    <x v="2"/>
    <n v="1114899"/>
    <n v="716"/>
    <x v="7"/>
    <x v="2"/>
    <n v="85"/>
    <n v="5813.96"/>
    <x v="0"/>
  </r>
  <r>
    <s v="HSBC100882"/>
    <s v="Ishita Mehta"/>
    <n v="37"/>
    <x v="7"/>
    <x v="1"/>
    <x v="2"/>
    <d v="2025-09-11T00:00:00"/>
    <x v="5"/>
    <n v="513503"/>
    <n v="769"/>
    <x v="6"/>
    <x v="0"/>
    <n v="43"/>
    <n v="4477.51"/>
    <x v="0"/>
  </r>
  <r>
    <s v="HSBC100883"/>
    <s v="Pooja Singh"/>
    <n v="46"/>
    <x v="5"/>
    <x v="1"/>
    <x v="1"/>
    <d v="2025-07-15T00:00:00"/>
    <x v="1"/>
    <n v="2568292"/>
    <n v="707"/>
    <x v="2"/>
    <x v="0"/>
    <n v="116"/>
    <n v="10985.16"/>
    <x v="0"/>
  </r>
  <r>
    <s v="HSBC100884"/>
    <s v="Rohan Banerjee"/>
    <n v="64"/>
    <x v="10"/>
    <x v="1"/>
    <x v="0"/>
    <d v="2026-08-21T00:00:00"/>
    <x v="1"/>
    <n v="2276393"/>
    <n v="626"/>
    <x v="5"/>
    <x v="4"/>
    <n v="53"/>
    <n v="7593.37"/>
    <x v="0"/>
  </r>
  <r>
    <s v="HSBC100885"/>
    <s v="Amit Sen"/>
    <n v="27"/>
    <x v="7"/>
    <x v="1"/>
    <x v="1"/>
    <d v="2026-06-06T00:00:00"/>
    <x v="3"/>
    <n v="3252083"/>
    <n v="584"/>
    <x v="5"/>
    <x v="2"/>
    <n v="117"/>
    <n v="18905.169999999998"/>
    <x v="0"/>
  </r>
  <r>
    <s v="HSBC100886"/>
    <s v="Aditya Patel"/>
    <n v="62"/>
    <x v="10"/>
    <x v="1"/>
    <x v="1"/>
    <d v="2026-06-01T00:00:00"/>
    <x v="2"/>
    <n v="2629897"/>
    <n v="836"/>
    <x v="4"/>
    <x v="0"/>
    <n v="85"/>
    <n v="13654.41"/>
    <x v="0"/>
  </r>
  <r>
    <s v="HSBC100887"/>
    <s v="Rohan Mehta"/>
    <n v="46"/>
    <x v="11"/>
    <x v="1"/>
    <x v="1"/>
    <d v="2025-04-28T00:00:00"/>
    <x v="1"/>
    <n v="1544416"/>
    <n v="729"/>
    <x v="1"/>
    <x v="4"/>
    <n v="27"/>
    <n v="1783.09"/>
    <x v="0"/>
  </r>
  <r>
    <s v="HSBC100888"/>
    <s v="Sanjay Mondal"/>
    <n v="45"/>
    <x v="10"/>
    <x v="1"/>
    <x v="1"/>
    <d v="2025-06-08T00:00:00"/>
    <x v="3"/>
    <n v="2235196"/>
    <n v="822"/>
    <x v="7"/>
    <x v="2"/>
    <n v="19"/>
    <n v="3268.22"/>
    <x v="0"/>
  </r>
  <r>
    <s v="HSBC100889"/>
    <s v="Nikhil Singh"/>
    <n v="30"/>
    <x v="6"/>
    <x v="1"/>
    <x v="0"/>
    <d v="2025-08-16T00:00:00"/>
    <x v="3"/>
    <n v="4168198"/>
    <n v="787"/>
    <x v="7"/>
    <x v="4"/>
    <n v="23"/>
    <n v="7466.92"/>
    <x v="0"/>
  </r>
  <r>
    <s v="HSBC100890"/>
    <s v="Ishita Singh"/>
    <n v="65"/>
    <x v="7"/>
    <x v="1"/>
    <x v="2"/>
    <d v="2025-08-04T00:00:00"/>
    <x v="1"/>
    <n v="1810121"/>
    <n v="694"/>
    <x v="4"/>
    <x v="2"/>
    <n v="115"/>
    <n v="8560.5400000000009"/>
    <x v="0"/>
  </r>
  <r>
    <s v="HSBC100891"/>
    <s v="Neha Sharma"/>
    <n v="39"/>
    <x v="7"/>
    <x v="1"/>
    <x v="0"/>
    <d v="2025-01-15T00:00:00"/>
    <x v="1"/>
    <n v="693035"/>
    <n v="774"/>
    <x v="2"/>
    <x v="0"/>
    <n v="50"/>
    <n v="3585.42"/>
    <x v="0"/>
  </r>
  <r>
    <s v="HSBC100892"/>
    <s v="Amit Sen"/>
    <n v="31"/>
    <x v="4"/>
    <x v="1"/>
    <x v="2"/>
    <d v="2025-06-06T00:00:00"/>
    <x v="4"/>
    <n v="3349072"/>
    <n v="749"/>
    <x v="6"/>
    <x v="4"/>
    <n v="51"/>
    <n v="35213.089999999997"/>
    <x v="0"/>
  </r>
  <r>
    <s v="HSBC100893"/>
    <s v="Arjun Verma"/>
    <n v="33"/>
    <x v="10"/>
    <x v="2"/>
    <x v="1"/>
    <d v="2025-09-18T00:00:00"/>
    <x v="3"/>
    <n v="2285115"/>
    <n v="661"/>
    <x v="0"/>
    <x v="0"/>
    <n v="43"/>
    <n v="22201.66"/>
    <x v="0"/>
  </r>
  <r>
    <s v="HSBC100894"/>
    <s v="Priya Singh"/>
    <n v="28"/>
    <x v="1"/>
    <x v="1"/>
    <x v="0"/>
    <d v="2025-06-06T00:00:00"/>
    <x v="0"/>
    <n v="939317"/>
    <n v="733"/>
    <x v="2"/>
    <x v="4"/>
    <n v="99"/>
    <n v="1592.44"/>
    <x v="0"/>
  </r>
  <r>
    <s v="HSBC100895"/>
    <s v="Karan Gupta"/>
    <n v="60"/>
    <x v="7"/>
    <x v="1"/>
    <x v="1"/>
    <d v="2025-02-16T00:00:00"/>
    <x v="3"/>
    <n v="1001240"/>
    <n v="720"/>
    <x v="1"/>
    <x v="1"/>
    <n v="104"/>
    <n v="12870.56"/>
    <x v="0"/>
  </r>
  <r>
    <s v="HSBC100896"/>
    <s v="Aarav Sharma"/>
    <n v="24"/>
    <x v="2"/>
    <x v="1"/>
    <x v="1"/>
    <d v="2025-11-20T00:00:00"/>
    <x v="2"/>
    <n v="1245791"/>
    <n v="725"/>
    <x v="7"/>
    <x v="0"/>
    <n v="116"/>
    <n v="8534.85"/>
    <x v="0"/>
  </r>
  <r>
    <s v="HSBC100897"/>
    <s v="Vivaan Khan"/>
    <n v="67"/>
    <x v="4"/>
    <x v="1"/>
    <x v="2"/>
    <d v="2025-05-10T00:00:00"/>
    <x v="2"/>
    <n v="2470943"/>
    <n v="701"/>
    <x v="5"/>
    <x v="0"/>
    <n v="51"/>
    <n v="33059.65"/>
    <x v="0"/>
  </r>
  <r>
    <s v="HSBC100898"/>
    <s v="Ananya Singh"/>
    <n v="51"/>
    <x v="10"/>
    <x v="0"/>
    <x v="1"/>
    <d v="2026-02-15T00:00:00"/>
    <x v="1"/>
    <n v="3312138"/>
    <n v="831"/>
    <x v="7"/>
    <x v="3"/>
    <n v="106"/>
    <n v="1722.65"/>
    <x v="0"/>
  </r>
  <r>
    <s v="HSBC100899"/>
    <s v="Karan Gupta"/>
    <n v="48"/>
    <x v="1"/>
    <x v="0"/>
    <x v="1"/>
    <d v="2025-04-05T00:00:00"/>
    <x v="1"/>
    <n v="1791121"/>
    <n v="668"/>
    <x v="2"/>
    <x v="0"/>
    <n v="112"/>
    <n v="77874.009999999995"/>
    <x v="0"/>
  </r>
  <r>
    <s v="HSBC100900"/>
    <s v="Sanjay Sharma"/>
    <n v="31"/>
    <x v="1"/>
    <x v="2"/>
    <x v="2"/>
    <d v="2025-10-19T00:00:00"/>
    <x v="1"/>
    <n v="2210299"/>
    <n v="637"/>
    <x v="0"/>
    <x v="2"/>
    <n v="69"/>
    <n v="3695.63"/>
    <x v="0"/>
  </r>
  <r>
    <s v="HSBC100901"/>
    <s v="Vivaan Gupta"/>
    <n v="63"/>
    <x v="8"/>
    <x v="0"/>
    <x v="2"/>
    <d v="2025-10-10T00:00:00"/>
    <x v="2"/>
    <n v="3103501"/>
    <n v="642"/>
    <x v="3"/>
    <x v="4"/>
    <n v="116"/>
    <n v="13325.75"/>
    <x v="0"/>
  </r>
  <r>
    <s v="HSBC100902"/>
    <s v="Pooja Gupta"/>
    <n v="21"/>
    <x v="0"/>
    <x v="3"/>
    <x v="1"/>
    <d v="2025-03-10T00:00:00"/>
    <x v="2"/>
    <n v="3077433"/>
    <n v="651"/>
    <x v="3"/>
    <x v="1"/>
    <n v="41"/>
    <n v="4737.79"/>
    <x v="0"/>
  </r>
  <r>
    <s v="HSBC100903"/>
    <s v="Vivaan Sharma"/>
    <n v="69"/>
    <x v="11"/>
    <x v="1"/>
    <x v="3"/>
    <d v="2025-01-11T00:00:00"/>
    <x v="4"/>
    <n v="2709622"/>
    <n v="588"/>
    <x v="4"/>
    <x v="2"/>
    <n v="72"/>
    <n v="6033.2"/>
    <x v="0"/>
  </r>
  <r>
    <s v="HSBC100904"/>
    <s v="Priya Sen"/>
    <n v="67"/>
    <x v="6"/>
    <x v="1"/>
    <x v="2"/>
    <d v="2025-09-11T00:00:00"/>
    <x v="1"/>
    <n v="2147459"/>
    <n v="673"/>
    <x v="7"/>
    <x v="2"/>
    <n v="11"/>
    <n v="1519.46"/>
    <x v="0"/>
  </r>
  <r>
    <s v="HSBC100905"/>
    <s v="Rohan Das"/>
    <n v="58"/>
    <x v="9"/>
    <x v="1"/>
    <x v="0"/>
    <d v="2026-07-04T00:00:00"/>
    <x v="2"/>
    <n v="4490012"/>
    <n v="731"/>
    <x v="7"/>
    <x v="2"/>
    <n v="80"/>
    <n v="31468.15"/>
    <x v="0"/>
  </r>
  <r>
    <s v="HSBC100906"/>
    <s v="Meera Singh"/>
    <n v="44"/>
    <x v="7"/>
    <x v="1"/>
    <x v="1"/>
    <d v="2025-05-14T00:00:00"/>
    <x v="1"/>
    <n v="4199842"/>
    <n v="619"/>
    <x v="1"/>
    <x v="2"/>
    <n v="103"/>
    <n v="6747.11"/>
    <x v="0"/>
  </r>
  <r>
    <s v="HSBC100907"/>
    <s v="Vivaan Banerjee"/>
    <n v="67"/>
    <x v="5"/>
    <x v="0"/>
    <x v="2"/>
    <d v="2025-01-23T00:00:00"/>
    <x v="1"/>
    <n v="1465442"/>
    <n v="641"/>
    <x v="7"/>
    <x v="1"/>
    <n v="111"/>
    <n v="7246.39"/>
    <x v="1"/>
  </r>
  <r>
    <s v="HSBC100908"/>
    <s v="Vivaan Malhotra"/>
    <n v="51"/>
    <x v="10"/>
    <x v="0"/>
    <x v="0"/>
    <d v="2025-12-12T00:00:00"/>
    <x v="4"/>
    <n v="4367095"/>
    <n v="833"/>
    <x v="0"/>
    <x v="3"/>
    <n v="88"/>
    <n v="101529.63"/>
    <x v="0"/>
  </r>
  <r>
    <s v="HSBC100909"/>
    <s v="Meera Mondal"/>
    <n v="61"/>
    <x v="10"/>
    <x v="1"/>
    <x v="2"/>
    <d v="2025-10-29T00:00:00"/>
    <x v="2"/>
    <n v="2830309"/>
    <n v="648"/>
    <x v="7"/>
    <x v="0"/>
    <n v="85"/>
    <n v="24524.18"/>
    <x v="0"/>
  </r>
  <r>
    <s v="HSBC100910"/>
    <s v="Karan Gupta"/>
    <n v="66"/>
    <x v="4"/>
    <x v="3"/>
    <x v="0"/>
    <d v="2025-12-29T00:00:00"/>
    <x v="0"/>
    <n v="3565537"/>
    <n v="824"/>
    <x v="6"/>
    <x v="2"/>
    <n v="52"/>
    <n v="4439.16"/>
    <x v="0"/>
  </r>
  <r>
    <s v="HSBC100911"/>
    <s v="Ishita Mehta"/>
    <n v="70"/>
    <x v="4"/>
    <x v="2"/>
    <x v="1"/>
    <d v="2026-01-31T00:00:00"/>
    <x v="1"/>
    <n v="2841318"/>
    <n v="749"/>
    <x v="2"/>
    <x v="0"/>
    <n v="23"/>
    <n v="4718.43"/>
    <x v="0"/>
  </r>
  <r>
    <s v="HSBC100912"/>
    <s v="Kavya Mehta"/>
    <n v="46"/>
    <x v="5"/>
    <x v="1"/>
    <x v="1"/>
    <d v="2025-08-06T00:00:00"/>
    <x v="1"/>
    <n v="4497328"/>
    <n v="757"/>
    <x v="4"/>
    <x v="0"/>
    <n v="49"/>
    <n v="11763.91"/>
    <x v="0"/>
  </r>
  <r>
    <s v="HSBC100913"/>
    <s v="Rahul Khan"/>
    <n v="69"/>
    <x v="10"/>
    <x v="1"/>
    <x v="1"/>
    <d v="2025-05-21T00:00:00"/>
    <x v="1"/>
    <n v="1701469"/>
    <n v="768"/>
    <x v="0"/>
    <x v="2"/>
    <n v="38"/>
    <n v="20115.91"/>
    <x v="0"/>
  </r>
  <r>
    <s v="HSBC100914"/>
    <s v="Priya Mondal"/>
    <n v="70"/>
    <x v="3"/>
    <x v="1"/>
    <x v="1"/>
    <d v="2025-07-29T00:00:00"/>
    <x v="1"/>
    <n v="3550874"/>
    <n v="839"/>
    <x v="1"/>
    <x v="3"/>
    <n v="47"/>
    <n v="56390.96"/>
    <x v="0"/>
  </r>
  <r>
    <s v="HSBC100915"/>
    <s v="Nikhil Verma"/>
    <n v="25"/>
    <x v="6"/>
    <x v="1"/>
    <x v="0"/>
    <d v="2026-04-05T00:00:00"/>
    <x v="3"/>
    <n v="4313997"/>
    <n v="651"/>
    <x v="6"/>
    <x v="0"/>
    <n v="72"/>
    <n v="1654.9"/>
    <x v="0"/>
  </r>
  <r>
    <s v="HSBC100916"/>
    <s v="Sanjay Malhotra"/>
    <n v="40"/>
    <x v="10"/>
    <x v="1"/>
    <x v="1"/>
    <d v="2025-12-22T00:00:00"/>
    <x v="2"/>
    <n v="298926"/>
    <n v="596"/>
    <x v="6"/>
    <x v="4"/>
    <n v="7"/>
    <n v="19213.54"/>
    <x v="0"/>
  </r>
  <r>
    <s v="HSBC100917"/>
    <s v="Karan Sen"/>
    <n v="61"/>
    <x v="7"/>
    <x v="1"/>
    <x v="3"/>
    <d v="2025-11-20T00:00:00"/>
    <x v="3"/>
    <n v="4001387"/>
    <n v="636"/>
    <x v="2"/>
    <x v="0"/>
    <n v="66"/>
    <n v="22743.91"/>
    <x v="0"/>
  </r>
  <r>
    <s v="HSBC100918"/>
    <s v="Varun Banerjee"/>
    <n v="31"/>
    <x v="0"/>
    <x v="1"/>
    <x v="3"/>
    <d v="2025-05-13T00:00:00"/>
    <x v="1"/>
    <n v="3029060"/>
    <n v="797"/>
    <x v="3"/>
    <x v="2"/>
    <n v="94"/>
    <n v="3908.93"/>
    <x v="0"/>
  </r>
  <r>
    <s v="HSBC100919"/>
    <s v="Arjun Nair"/>
    <n v="53"/>
    <x v="5"/>
    <x v="1"/>
    <x v="1"/>
    <d v="2025-05-07T00:00:00"/>
    <x v="3"/>
    <n v="733791"/>
    <n v="686"/>
    <x v="0"/>
    <x v="1"/>
    <n v="77"/>
    <n v="6134.77"/>
    <x v="0"/>
  </r>
  <r>
    <s v="HSBC100920"/>
    <s v="Varun Gupta"/>
    <n v="70"/>
    <x v="7"/>
    <x v="3"/>
    <x v="1"/>
    <d v="2025-04-16T00:00:00"/>
    <x v="1"/>
    <n v="1920930"/>
    <n v="752"/>
    <x v="2"/>
    <x v="0"/>
    <n v="62"/>
    <n v="1616.72"/>
    <x v="0"/>
  </r>
  <r>
    <s v="HSBC100921"/>
    <s v="Kavya Mehta"/>
    <n v="58"/>
    <x v="3"/>
    <x v="0"/>
    <x v="3"/>
    <d v="2026-08-27T00:00:00"/>
    <x v="3"/>
    <n v="2408714"/>
    <n v="798"/>
    <x v="6"/>
    <x v="3"/>
    <n v="87"/>
    <n v="5292.58"/>
    <x v="0"/>
  </r>
  <r>
    <s v="HSBC100922"/>
    <s v="Vikram Sen"/>
    <n v="47"/>
    <x v="6"/>
    <x v="3"/>
    <x v="3"/>
    <d v="2026-01-13T00:00:00"/>
    <x v="1"/>
    <n v="3698281"/>
    <n v="826"/>
    <x v="1"/>
    <x v="4"/>
    <n v="29"/>
    <n v="11426.59"/>
    <x v="0"/>
  </r>
  <r>
    <s v="HSBC100923"/>
    <s v="Kavya Gupta"/>
    <n v="54"/>
    <x v="10"/>
    <x v="1"/>
    <x v="1"/>
    <d v="2025-02-20T00:00:00"/>
    <x v="1"/>
    <n v="2300181"/>
    <n v="797"/>
    <x v="2"/>
    <x v="4"/>
    <n v="38"/>
    <n v="47754.25"/>
    <x v="2"/>
  </r>
  <r>
    <s v="HSBC100924"/>
    <s v="Varun Khan"/>
    <n v="35"/>
    <x v="9"/>
    <x v="1"/>
    <x v="1"/>
    <d v="2025-01-29T00:00:00"/>
    <x v="1"/>
    <n v="1046266"/>
    <n v="610"/>
    <x v="3"/>
    <x v="1"/>
    <n v="101"/>
    <n v="52611.17"/>
    <x v="0"/>
  </r>
  <r>
    <s v="HSBC100925"/>
    <s v="Pooja Chatterjee"/>
    <n v="52"/>
    <x v="8"/>
    <x v="0"/>
    <x v="2"/>
    <d v="2026-04-07T00:00:00"/>
    <x v="0"/>
    <n v="2872280"/>
    <n v="626"/>
    <x v="6"/>
    <x v="1"/>
    <n v="84"/>
    <n v="3038.85"/>
    <x v="0"/>
  </r>
  <r>
    <s v="HSBC100926"/>
    <s v="Neha Mehta"/>
    <n v="41"/>
    <x v="7"/>
    <x v="1"/>
    <x v="0"/>
    <d v="2025-10-23T00:00:00"/>
    <x v="1"/>
    <n v="4475872"/>
    <n v="713"/>
    <x v="2"/>
    <x v="0"/>
    <n v="33"/>
    <n v="41388.239999999998"/>
    <x v="0"/>
  </r>
  <r>
    <s v="HSBC100927"/>
    <s v="Sanjay Verma"/>
    <n v="66"/>
    <x v="0"/>
    <x v="1"/>
    <x v="1"/>
    <d v="2025-10-24T00:00:00"/>
    <x v="1"/>
    <n v="911259"/>
    <n v="687"/>
    <x v="0"/>
    <x v="2"/>
    <n v="29"/>
    <n v="1156.54"/>
    <x v="0"/>
  </r>
  <r>
    <s v="HSBC100928"/>
    <s v="Vivaan Singh"/>
    <n v="25"/>
    <x v="9"/>
    <x v="0"/>
    <x v="0"/>
    <d v="2026-02-11T00:00:00"/>
    <x v="3"/>
    <n v="860326"/>
    <n v="651"/>
    <x v="3"/>
    <x v="3"/>
    <n v="114"/>
    <n v="4845.59"/>
    <x v="0"/>
  </r>
  <r>
    <s v="HSBC100929"/>
    <s v="Aditya Mehta"/>
    <n v="26"/>
    <x v="2"/>
    <x v="0"/>
    <x v="1"/>
    <d v="2026-02-09T00:00:00"/>
    <x v="1"/>
    <n v="1495749"/>
    <n v="687"/>
    <x v="0"/>
    <x v="4"/>
    <n v="79"/>
    <n v="6523.06"/>
    <x v="0"/>
  </r>
  <r>
    <s v="HSBC100930"/>
    <s v="Ishita Sharma"/>
    <n v="58"/>
    <x v="4"/>
    <x v="1"/>
    <x v="1"/>
    <d v="2025-12-12T00:00:00"/>
    <x v="1"/>
    <n v="1206277"/>
    <n v="750"/>
    <x v="0"/>
    <x v="1"/>
    <n v="23"/>
    <n v="11665.36"/>
    <x v="0"/>
  </r>
  <r>
    <s v="HSBC100931"/>
    <s v="Priya Roy"/>
    <n v="42"/>
    <x v="7"/>
    <x v="1"/>
    <x v="1"/>
    <d v="2026-02-24T00:00:00"/>
    <x v="1"/>
    <n v="2476941"/>
    <n v="695"/>
    <x v="0"/>
    <x v="3"/>
    <n v="106"/>
    <n v="10014.969999999999"/>
    <x v="0"/>
  </r>
  <r>
    <s v="HSBC100932"/>
    <s v="Aditya Gupta"/>
    <n v="38"/>
    <x v="4"/>
    <x v="1"/>
    <x v="1"/>
    <d v="2025-07-01T00:00:00"/>
    <x v="1"/>
    <n v="1668180"/>
    <n v="653"/>
    <x v="2"/>
    <x v="2"/>
    <n v="3"/>
    <n v="13147.45"/>
    <x v="0"/>
  </r>
  <r>
    <s v="HSBC100933"/>
    <s v="Karan Roy"/>
    <n v="34"/>
    <x v="10"/>
    <x v="1"/>
    <x v="1"/>
    <d v="2025-01-01T00:00:00"/>
    <x v="3"/>
    <n v="324723"/>
    <n v="835"/>
    <x v="3"/>
    <x v="4"/>
    <n v="101"/>
    <n v="7390.09"/>
    <x v="0"/>
  </r>
  <r>
    <s v="HSBC100934"/>
    <s v="Amit Chatterjee"/>
    <n v="30"/>
    <x v="4"/>
    <x v="1"/>
    <x v="2"/>
    <d v="2026-07-21T00:00:00"/>
    <x v="4"/>
    <n v="3268967"/>
    <n v="660"/>
    <x v="2"/>
    <x v="4"/>
    <n v="120"/>
    <n v="24527.94"/>
    <x v="0"/>
  </r>
  <r>
    <s v="HSBC100935"/>
    <s v="Nikhil Sen"/>
    <n v="66"/>
    <x v="2"/>
    <x v="1"/>
    <x v="1"/>
    <d v="2026-01-06T00:00:00"/>
    <x v="1"/>
    <n v="3976904"/>
    <n v="847"/>
    <x v="2"/>
    <x v="2"/>
    <n v="93"/>
    <n v="18516.68"/>
    <x v="0"/>
  </r>
  <r>
    <s v="HSBC100936"/>
    <s v="Nikhil Chatterjee"/>
    <n v="33"/>
    <x v="0"/>
    <x v="1"/>
    <x v="1"/>
    <d v="2026-03-07T00:00:00"/>
    <x v="0"/>
    <n v="1783017"/>
    <n v="707"/>
    <x v="2"/>
    <x v="4"/>
    <n v="45"/>
    <n v="6607.49"/>
    <x v="0"/>
  </r>
  <r>
    <s v="HSBC100937"/>
    <s v="Ishita Banerjee"/>
    <n v="51"/>
    <x v="6"/>
    <x v="3"/>
    <x v="1"/>
    <d v="2025-11-05T00:00:00"/>
    <x v="1"/>
    <n v="1042515"/>
    <n v="814"/>
    <x v="6"/>
    <x v="2"/>
    <n v="8"/>
    <n v="21687.98"/>
    <x v="0"/>
  </r>
  <r>
    <s v="HSBC100938"/>
    <s v="Vikram Mehta"/>
    <n v="50"/>
    <x v="1"/>
    <x v="0"/>
    <x v="3"/>
    <d v="2025-05-17T00:00:00"/>
    <x v="1"/>
    <n v="1643196"/>
    <n v="620"/>
    <x v="7"/>
    <x v="4"/>
    <n v="86"/>
    <n v="78578.789999999994"/>
    <x v="0"/>
  </r>
  <r>
    <s v="HSBC100939"/>
    <s v="Neha Roy"/>
    <n v="23"/>
    <x v="11"/>
    <x v="2"/>
    <x v="1"/>
    <d v="2025-07-21T00:00:00"/>
    <x v="1"/>
    <n v="1285211"/>
    <n v="760"/>
    <x v="5"/>
    <x v="0"/>
    <n v="117"/>
    <n v="4416.3900000000003"/>
    <x v="0"/>
  </r>
  <r>
    <s v="HSBC100940"/>
    <s v="Rohan Sen"/>
    <n v="50"/>
    <x v="5"/>
    <x v="1"/>
    <x v="1"/>
    <d v="2026-03-12T00:00:00"/>
    <x v="1"/>
    <n v="2439568"/>
    <n v="736"/>
    <x v="6"/>
    <x v="2"/>
    <n v="29"/>
    <n v="52005.43"/>
    <x v="0"/>
  </r>
  <r>
    <s v="HSBC100941"/>
    <s v="Vikram Patel"/>
    <n v="26"/>
    <x v="6"/>
    <x v="1"/>
    <x v="2"/>
    <d v="2025-11-09T00:00:00"/>
    <x v="1"/>
    <n v="4184740"/>
    <n v="638"/>
    <x v="3"/>
    <x v="3"/>
    <n v="2"/>
    <n v="4852.99"/>
    <x v="0"/>
  </r>
  <r>
    <s v="HSBC100942"/>
    <s v="Neha Verma"/>
    <n v="49"/>
    <x v="1"/>
    <x v="1"/>
    <x v="3"/>
    <d v="2025-04-27T00:00:00"/>
    <x v="0"/>
    <n v="897122"/>
    <n v="828"/>
    <x v="5"/>
    <x v="0"/>
    <n v="105"/>
    <n v="39373.26"/>
    <x v="0"/>
  </r>
  <r>
    <s v="HSBC100943"/>
    <s v="Kavya Malhotra"/>
    <n v="28"/>
    <x v="3"/>
    <x v="1"/>
    <x v="1"/>
    <d v="2026-07-29T00:00:00"/>
    <x v="4"/>
    <n v="4032164"/>
    <n v="771"/>
    <x v="5"/>
    <x v="3"/>
    <n v="113"/>
    <n v="5048.1000000000004"/>
    <x v="0"/>
  </r>
  <r>
    <s v="HSBC100944"/>
    <s v="Pooja Mehta"/>
    <n v="64"/>
    <x v="7"/>
    <x v="1"/>
    <x v="0"/>
    <d v="2025-09-01T00:00:00"/>
    <x v="1"/>
    <n v="2011331"/>
    <n v="603"/>
    <x v="5"/>
    <x v="4"/>
    <n v="50"/>
    <n v="20009.16"/>
    <x v="0"/>
  </r>
  <r>
    <s v="HSBC100945"/>
    <s v="Amit Banerjee"/>
    <n v="65"/>
    <x v="7"/>
    <x v="2"/>
    <x v="0"/>
    <d v="2026-06-21T00:00:00"/>
    <x v="2"/>
    <n v="2127329"/>
    <n v="659"/>
    <x v="7"/>
    <x v="3"/>
    <n v="109"/>
    <n v="10814.19"/>
    <x v="2"/>
  </r>
  <r>
    <s v="HSBC100946"/>
    <s v="Varun Gupta"/>
    <n v="63"/>
    <x v="0"/>
    <x v="0"/>
    <x v="2"/>
    <d v="2026-08-25T00:00:00"/>
    <x v="4"/>
    <n v="3142970"/>
    <n v="713"/>
    <x v="2"/>
    <x v="0"/>
    <n v="65"/>
    <n v="1374"/>
    <x v="1"/>
  </r>
  <r>
    <s v="HSBC100947"/>
    <s v="Ishita Das"/>
    <n v="64"/>
    <x v="7"/>
    <x v="0"/>
    <x v="1"/>
    <d v="2025-03-16T00:00:00"/>
    <x v="0"/>
    <n v="565315"/>
    <n v="792"/>
    <x v="4"/>
    <x v="2"/>
    <n v="108"/>
    <n v="66925.14"/>
    <x v="0"/>
  </r>
  <r>
    <s v="HSBC100948"/>
    <s v="Karan Malhotra"/>
    <n v="53"/>
    <x v="9"/>
    <x v="1"/>
    <x v="0"/>
    <d v="2026-01-21T00:00:00"/>
    <x v="3"/>
    <n v="400594"/>
    <n v="745"/>
    <x v="1"/>
    <x v="1"/>
    <n v="20"/>
    <n v="3497.4"/>
    <x v="0"/>
  </r>
  <r>
    <s v="HSBC100949"/>
    <s v="Aditya Iyer"/>
    <n v="37"/>
    <x v="1"/>
    <x v="3"/>
    <x v="1"/>
    <d v="2025-07-29T00:00:00"/>
    <x v="1"/>
    <n v="970892"/>
    <n v="650"/>
    <x v="3"/>
    <x v="3"/>
    <n v="52"/>
    <n v="2361.19"/>
    <x v="0"/>
  </r>
  <r>
    <s v="HSBC100950"/>
    <s v="Aditya Chatterjee"/>
    <n v="68"/>
    <x v="0"/>
    <x v="1"/>
    <x v="2"/>
    <d v="2026-04-20T00:00:00"/>
    <x v="4"/>
    <n v="4313903"/>
    <n v="793"/>
    <x v="4"/>
    <x v="1"/>
    <n v="85"/>
    <n v="4576.04"/>
    <x v="0"/>
  </r>
  <r>
    <s v="HSBC100951"/>
    <s v="Amit Chatterjee"/>
    <n v="31"/>
    <x v="8"/>
    <x v="1"/>
    <x v="0"/>
    <d v="2026-02-22T00:00:00"/>
    <x v="2"/>
    <n v="4209015"/>
    <n v="644"/>
    <x v="7"/>
    <x v="3"/>
    <n v="37"/>
    <n v="127747.33"/>
    <x v="0"/>
  </r>
  <r>
    <s v="HSBC100952"/>
    <s v="Vikram Gupta"/>
    <n v="33"/>
    <x v="9"/>
    <x v="1"/>
    <x v="1"/>
    <d v="2025-12-13T00:00:00"/>
    <x v="2"/>
    <n v="2382942"/>
    <n v="800"/>
    <x v="7"/>
    <x v="3"/>
    <n v="72"/>
    <n v="2400.9"/>
    <x v="0"/>
  </r>
  <r>
    <s v="HSBC100953"/>
    <s v="Aarav Khan"/>
    <n v="70"/>
    <x v="7"/>
    <x v="2"/>
    <x v="0"/>
    <d v="2026-06-13T00:00:00"/>
    <x v="1"/>
    <n v="2922452"/>
    <n v="764"/>
    <x v="1"/>
    <x v="2"/>
    <n v="27"/>
    <n v="10798.43"/>
    <x v="0"/>
  </r>
  <r>
    <s v="HSBC100954"/>
    <s v="Aarav Patel"/>
    <n v="31"/>
    <x v="4"/>
    <x v="3"/>
    <x v="1"/>
    <d v="2025-06-28T00:00:00"/>
    <x v="1"/>
    <n v="2464979"/>
    <n v="786"/>
    <x v="5"/>
    <x v="4"/>
    <n v="47"/>
    <n v="2753.64"/>
    <x v="0"/>
  </r>
  <r>
    <s v="HSBC100955"/>
    <s v="Vikram Sen"/>
    <n v="51"/>
    <x v="2"/>
    <x v="1"/>
    <x v="0"/>
    <d v="2025-07-01T00:00:00"/>
    <x v="2"/>
    <n v="3655851"/>
    <n v="678"/>
    <x v="2"/>
    <x v="0"/>
    <n v="99"/>
    <n v="3296.8"/>
    <x v="0"/>
  </r>
  <r>
    <s v="HSBC100956"/>
    <s v="Meera Chatterjee"/>
    <n v="48"/>
    <x v="4"/>
    <x v="2"/>
    <x v="1"/>
    <d v="2025-01-25T00:00:00"/>
    <x v="1"/>
    <n v="446211"/>
    <n v="821"/>
    <x v="1"/>
    <x v="0"/>
    <n v="6"/>
    <n v="1670.05"/>
    <x v="0"/>
  </r>
  <r>
    <s v="HSBC100957"/>
    <s v="Rohan Roy"/>
    <n v="64"/>
    <x v="9"/>
    <x v="2"/>
    <x v="1"/>
    <d v="2025-06-29T00:00:00"/>
    <x v="1"/>
    <n v="2086082"/>
    <n v="737"/>
    <x v="4"/>
    <x v="0"/>
    <n v="60"/>
    <n v="12468.07"/>
    <x v="0"/>
  </r>
  <r>
    <s v="HSBC100958"/>
    <s v="Rahul Nair"/>
    <n v="26"/>
    <x v="3"/>
    <x v="1"/>
    <x v="1"/>
    <d v="2026-05-16T00:00:00"/>
    <x v="4"/>
    <n v="2487699"/>
    <n v="677"/>
    <x v="4"/>
    <x v="4"/>
    <n v="45"/>
    <n v="7560.7"/>
    <x v="0"/>
  </r>
  <r>
    <s v="HSBC100959"/>
    <s v="Nikhil Malhotra"/>
    <n v="61"/>
    <x v="7"/>
    <x v="1"/>
    <x v="3"/>
    <d v="2025-06-10T00:00:00"/>
    <x v="1"/>
    <n v="2063065"/>
    <n v="621"/>
    <x v="1"/>
    <x v="1"/>
    <n v="44"/>
    <n v="2730.02"/>
    <x v="0"/>
  </r>
  <r>
    <s v="HSBC100960"/>
    <s v="Neha Khan"/>
    <n v="36"/>
    <x v="3"/>
    <x v="1"/>
    <x v="1"/>
    <d v="2025-06-26T00:00:00"/>
    <x v="2"/>
    <n v="627332"/>
    <n v="718"/>
    <x v="7"/>
    <x v="0"/>
    <n v="83"/>
    <n v="22401.06"/>
    <x v="0"/>
  </r>
  <r>
    <s v="HSBC100961"/>
    <s v="Ananya Nair"/>
    <n v="24"/>
    <x v="3"/>
    <x v="3"/>
    <x v="1"/>
    <d v="2025-10-12T00:00:00"/>
    <x v="2"/>
    <n v="334153"/>
    <n v="806"/>
    <x v="3"/>
    <x v="1"/>
    <n v="18"/>
    <n v="25025.65"/>
    <x v="0"/>
  </r>
  <r>
    <s v="HSBC100962"/>
    <s v="Meera Sharma"/>
    <n v="55"/>
    <x v="1"/>
    <x v="1"/>
    <x v="1"/>
    <d v="2025-03-04T00:00:00"/>
    <x v="0"/>
    <n v="1376018"/>
    <n v="651"/>
    <x v="0"/>
    <x v="4"/>
    <n v="120"/>
    <n v="13733.31"/>
    <x v="0"/>
  </r>
  <r>
    <s v="HSBC100963"/>
    <s v="Sneha Patel"/>
    <n v="68"/>
    <x v="5"/>
    <x v="2"/>
    <x v="2"/>
    <d v="2025-06-05T00:00:00"/>
    <x v="1"/>
    <n v="4222162"/>
    <n v="822"/>
    <x v="2"/>
    <x v="4"/>
    <n v="65"/>
    <n v="30613.72"/>
    <x v="0"/>
  </r>
  <r>
    <s v="HSBC100964"/>
    <s v="Sneha Das"/>
    <n v="46"/>
    <x v="1"/>
    <x v="1"/>
    <x v="2"/>
    <d v="2026-04-14T00:00:00"/>
    <x v="1"/>
    <n v="4422060"/>
    <n v="597"/>
    <x v="4"/>
    <x v="2"/>
    <n v="25"/>
    <n v="6207.66"/>
    <x v="0"/>
  </r>
  <r>
    <s v="HSBC100965"/>
    <s v="Arjun Khan"/>
    <n v="32"/>
    <x v="10"/>
    <x v="2"/>
    <x v="1"/>
    <d v="2025-02-18T00:00:00"/>
    <x v="2"/>
    <n v="1558064"/>
    <n v="656"/>
    <x v="4"/>
    <x v="0"/>
    <n v="27"/>
    <n v="12562.78"/>
    <x v="0"/>
  </r>
  <r>
    <s v="HSBC100966"/>
    <s v="Rahul Banerjee"/>
    <n v="31"/>
    <x v="11"/>
    <x v="1"/>
    <x v="1"/>
    <d v="2025-03-25T00:00:00"/>
    <x v="3"/>
    <n v="328947"/>
    <n v="624"/>
    <x v="1"/>
    <x v="2"/>
    <n v="7"/>
    <n v="6232.87"/>
    <x v="0"/>
  </r>
  <r>
    <s v="HSBC100967"/>
    <s v="Rohan Singh"/>
    <n v="57"/>
    <x v="9"/>
    <x v="0"/>
    <x v="1"/>
    <d v="2025-12-27T00:00:00"/>
    <x v="0"/>
    <n v="2203980"/>
    <n v="719"/>
    <x v="2"/>
    <x v="0"/>
    <n v="44"/>
    <n v="1839.59"/>
    <x v="0"/>
  </r>
  <r>
    <s v="HSBC100968"/>
    <s v="Aditya Sharma"/>
    <n v="45"/>
    <x v="6"/>
    <x v="2"/>
    <x v="1"/>
    <d v="2025-05-28T00:00:00"/>
    <x v="1"/>
    <n v="2788361"/>
    <n v="756"/>
    <x v="1"/>
    <x v="4"/>
    <n v="106"/>
    <n v="11273.48"/>
    <x v="0"/>
  </r>
  <r>
    <s v="HSBC100969"/>
    <s v="Arjun Singh"/>
    <n v="38"/>
    <x v="11"/>
    <x v="2"/>
    <x v="1"/>
    <d v="2025-12-08T00:00:00"/>
    <x v="1"/>
    <n v="4219411"/>
    <n v="801"/>
    <x v="5"/>
    <x v="4"/>
    <n v="29"/>
    <n v="10578.85"/>
    <x v="0"/>
  </r>
  <r>
    <s v="HSBC100970"/>
    <s v="Varun Das"/>
    <n v="39"/>
    <x v="8"/>
    <x v="2"/>
    <x v="0"/>
    <d v="2026-04-21T00:00:00"/>
    <x v="3"/>
    <n v="1218410"/>
    <n v="671"/>
    <x v="2"/>
    <x v="5"/>
    <n v="95"/>
    <n v="8675.83"/>
    <x v="0"/>
  </r>
  <r>
    <s v="HSBC100971"/>
    <s v="Rohan Mondal"/>
    <n v="43"/>
    <x v="2"/>
    <x v="1"/>
    <x v="1"/>
    <d v="2025-03-04T00:00:00"/>
    <x v="1"/>
    <n v="2660912"/>
    <n v="601"/>
    <x v="5"/>
    <x v="3"/>
    <n v="44"/>
    <n v="13260.82"/>
    <x v="0"/>
  </r>
  <r>
    <s v="HSBC100972"/>
    <s v="Neha Roy"/>
    <n v="58"/>
    <x v="1"/>
    <x v="0"/>
    <x v="1"/>
    <d v="2025-12-26T00:00:00"/>
    <x v="2"/>
    <n v="2849087"/>
    <n v="751"/>
    <x v="4"/>
    <x v="4"/>
    <n v="107"/>
    <n v="39438.49"/>
    <x v="0"/>
  </r>
  <r>
    <s v="HSBC100973"/>
    <s v="Rahul Das"/>
    <n v="38"/>
    <x v="1"/>
    <x v="1"/>
    <x v="1"/>
    <d v="2026-07-15T00:00:00"/>
    <x v="1"/>
    <n v="4186642"/>
    <n v="671"/>
    <x v="7"/>
    <x v="4"/>
    <n v="36"/>
    <n v="7225.41"/>
    <x v="0"/>
  </r>
  <r>
    <s v="HSBC100974"/>
    <s v="Rahul Mondal"/>
    <n v="46"/>
    <x v="0"/>
    <x v="1"/>
    <x v="3"/>
    <d v="2025-11-23T00:00:00"/>
    <x v="1"/>
    <n v="2717286"/>
    <n v="771"/>
    <x v="5"/>
    <x v="1"/>
    <n v="19"/>
    <n v="3277.95"/>
    <x v="0"/>
  </r>
  <r>
    <s v="HSBC100975"/>
    <s v="Ishita Singh"/>
    <n v="26"/>
    <x v="11"/>
    <x v="0"/>
    <x v="3"/>
    <d v="2025-05-21T00:00:00"/>
    <x v="1"/>
    <n v="3617764"/>
    <n v="656"/>
    <x v="2"/>
    <x v="1"/>
    <n v="6"/>
    <n v="6904.04"/>
    <x v="0"/>
  </r>
  <r>
    <s v="HSBC100976"/>
    <s v="Ananya Das"/>
    <n v="24"/>
    <x v="0"/>
    <x v="1"/>
    <x v="0"/>
    <d v="2025-08-03T00:00:00"/>
    <x v="1"/>
    <n v="3861880"/>
    <n v="758"/>
    <x v="6"/>
    <x v="2"/>
    <n v="25"/>
    <n v="7756.74"/>
    <x v="0"/>
  </r>
  <r>
    <s v="HSBC100977"/>
    <s v="Kavya Khan"/>
    <n v="64"/>
    <x v="6"/>
    <x v="1"/>
    <x v="1"/>
    <d v="2026-03-11T00:00:00"/>
    <x v="2"/>
    <n v="944934"/>
    <n v="817"/>
    <x v="2"/>
    <x v="3"/>
    <n v="31"/>
    <n v="25153.89"/>
    <x v="0"/>
  </r>
  <r>
    <s v="HSBC100978"/>
    <s v="Ishita Singh"/>
    <n v="49"/>
    <x v="0"/>
    <x v="3"/>
    <x v="1"/>
    <d v="2025-11-14T00:00:00"/>
    <x v="0"/>
    <n v="1290835"/>
    <n v="714"/>
    <x v="1"/>
    <x v="3"/>
    <n v="9"/>
    <n v="10016.57"/>
    <x v="0"/>
  </r>
  <r>
    <s v="HSBC100979"/>
    <s v="Vivaan Gupta"/>
    <n v="54"/>
    <x v="11"/>
    <x v="1"/>
    <x v="1"/>
    <d v="2025-02-01T00:00:00"/>
    <x v="1"/>
    <n v="2128292"/>
    <n v="598"/>
    <x v="5"/>
    <x v="4"/>
    <n v="84"/>
    <n v="2682.22"/>
    <x v="0"/>
  </r>
  <r>
    <s v="HSBC100980"/>
    <s v="Aditya Khan"/>
    <n v="37"/>
    <x v="9"/>
    <x v="0"/>
    <x v="1"/>
    <d v="2025-10-12T00:00:00"/>
    <x v="4"/>
    <n v="392617"/>
    <n v="662"/>
    <x v="3"/>
    <x v="4"/>
    <n v="74"/>
    <n v="20862.96"/>
    <x v="0"/>
  </r>
  <r>
    <s v="HSBC100981"/>
    <s v="Meera Sen"/>
    <n v="63"/>
    <x v="7"/>
    <x v="1"/>
    <x v="2"/>
    <d v="2025-11-01T00:00:00"/>
    <x v="1"/>
    <n v="1518962"/>
    <n v="807"/>
    <x v="6"/>
    <x v="2"/>
    <n v="37"/>
    <n v="17630.48"/>
    <x v="0"/>
  </r>
  <r>
    <s v="HSBC100982"/>
    <s v="Aarav Sen"/>
    <n v="63"/>
    <x v="7"/>
    <x v="1"/>
    <x v="0"/>
    <d v="2026-03-05T00:00:00"/>
    <x v="2"/>
    <n v="2351847"/>
    <n v="844"/>
    <x v="7"/>
    <x v="3"/>
    <n v="27"/>
    <n v="10021.19"/>
    <x v="0"/>
  </r>
  <r>
    <s v="HSBC100983"/>
    <s v="Aditya Roy"/>
    <n v="36"/>
    <x v="2"/>
    <x v="1"/>
    <x v="0"/>
    <d v="2026-04-22T00:00:00"/>
    <x v="1"/>
    <n v="1280120"/>
    <n v="691"/>
    <x v="0"/>
    <x v="1"/>
    <n v="13"/>
    <n v="24237.56"/>
    <x v="0"/>
  </r>
  <r>
    <s v="HSBC100984"/>
    <s v="Vivaan Singh"/>
    <n v="22"/>
    <x v="8"/>
    <x v="3"/>
    <x v="0"/>
    <d v="2025-10-13T00:00:00"/>
    <x v="3"/>
    <n v="1284780"/>
    <n v="830"/>
    <x v="1"/>
    <x v="0"/>
    <n v="41"/>
    <n v="28893.95"/>
    <x v="0"/>
  </r>
  <r>
    <s v="HSBC100985"/>
    <s v="Nikhil Verma"/>
    <n v="54"/>
    <x v="1"/>
    <x v="2"/>
    <x v="1"/>
    <d v="2025-05-24T00:00:00"/>
    <x v="4"/>
    <n v="3934334"/>
    <n v="743"/>
    <x v="1"/>
    <x v="2"/>
    <n v="66"/>
    <n v="6025.09"/>
    <x v="0"/>
  </r>
  <r>
    <s v="HSBC100986"/>
    <s v="Amit Banerjee"/>
    <n v="28"/>
    <x v="6"/>
    <x v="2"/>
    <x v="0"/>
    <d v="2026-02-28T00:00:00"/>
    <x v="2"/>
    <n v="1714123"/>
    <n v="747"/>
    <x v="3"/>
    <x v="0"/>
    <n v="114"/>
    <n v="3480.15"/>
    <x v="0"/>
  </r>
  <r>
    <s v="HSBC100987"/>
    <s v="Ananya Singh"/>
    <n v="33"/>
    <x v="1"/>
    <x v="3"/>
    <x v="1"/>
    <d v="2025-01-19T00:00:00"/>
    <x v="3"/>
    <n v="2006608"/>
    <n v="800"/>
    <x v="0"/>
    <x v="1"/>
    <n v="85"/>
    <n v="8844.31"/>
    <x v="0"/>
  </r>
  <r>
    <s v="HSBC100988"/>
    <s v="Meera Malhotra"/>
    <n v="62"/>
    <x v="10"/>
    <x v="1"/>
    <x v="1"/>
    <d v="2025-01-18T00:00:00"/>
    <x v="2"/>
    <n v="2817228"/>
    <n v="770"/>
    <x v="4"/>
    <x v="1"/>
    <n v="97"/>
    <n v="15731.85"/>
    <x v="0"/>
  </r>
  <r>
    <s v="HSBC100989"/>
    <s v="Sanjay Sen"/>
    <n v="28"/>
    <x v="2"/>
    <x v="1"/>
    <x v="0"/>
    <d v="2026-08-13T00:00:00"/>
    <x v="0"/>
    <n v="999045"/>
    <n v="749"/>
    <x v="0"/>
    <x v="0"/>
    <n v="24"/>
    <n v="8017.46"/>
    <x v="0"/>
  </r>
  <r>
    <s v="HSBC100990"/>
    <s v="Ishita Chatterjee"/>
    <n v="50"/>
    <x v="8"/>
    <x v="0"/>
    <x v="1"/>
    <d v="2026-01-06T00:00:00"/>
    <x v="4"/>
    <n v="1122109"/>
    <n v="624"/>
    <x v="7"/>
    <x v="2"/>
    <n v="117"/>
    <n v="3172.12"/>
    <x v="1"/>
  </r>
  <r>
    <s v="HSBC100991"/>
    <s v="Kavya Chatterjee"/>
    <n v="52"/>
    <x v="5"/>
    <x v="1"/>
    <x v="1"/>
    <d v="2025-06-24T00:00:00"/>
    <x v="3"/>
    <n v="4284480"/>
    <n v="593"/>
    <x v="7"/>
    <x v="0"/>
    <n v="44"/>
    <n v="10623.31"/>
    <x v="0"/>
  </r>
  <r>
    <s v="HSBC100992"/>
    <s v="Aditya Sharma"/>
    <n v="56"/>
    <x v="0"/>
    <x v="1"/>
    <x v="1"/>
    <d v="2025-07-13T00:00:00"/>
    <x v="1"/>
    <n v="637405"/>
    <n v="810"/>
    <x v="6"/>
    <x v="2"/>
    <n v="106"/>
    <n v="1058.73"/>
    <x v="0"/>
  </r>
  <r>
    <s v="HSBC100993"/>
    <s v="Varun Iyer"/>
    <n v="67"/>
    <x v="4"/>
    <x v="1"/>
    <x v="0"/>
    <d v="2026-05-17T00:00:00"/>
    <x v="1"/>
    <n v="1958175"/>
    <n v="736"/>
    <x v="4"/>
    <x v="2"/>
    <n v="98"/>
    <n v="6369.75"/>
    <x v="0"/>
  </r>
  <r>
    <s v="HSBC100994"/>
    <s v="Meera Das"/>
    <n v="50"/>
    <x v="11"/>
    <x v="0"/>
    <x v="0"/>
    <d v="2025-04-23T00:00:00"/>
    <x v="2"/>
    <n v="3637232"/>
    <n v="713"/>
    <x v="1"/>
    <x v="4"/>
    <n v="60"/>
    <n v="21888.66"/>
    <x v="0"/>
  </r>
  <r>
    <s v="HSBC100995"/>
    <s v="Vivaan Mondal"/>
    <n v="21"/>
    <x v="1"/>
    <x v="0"/>
    <x v="1"/>
    <d v="2025-04-24T00:00:00"/>
    <x v="1"/>
    <n v="3351004"/>
    <n v="616"/>
    <x v="5"/>
    <x v="3"/>
    <n v="9"/>
    <n v="23172.240000000002"/>
    <x v="0"/>
  </r>
  <r>
    <s v="HSBC100996"/>
    <s v="Vikram Mehta"/>
    <n v="63"/>
    <x v="0"/>
    <x v="1"/>
    <x v="0"/>
    <d v="2025-08-10T00:00:00"/>
    <x v="2"/>
    <n v="3182208"/>
    <n v="632"/>
    <x v="7"/>
    <x v="3"/>
    <n v="2"/>
    <n v="500"/>
    <x v="0"/>
  </r>
  <r>
    <s v="HSBC100997"/>
    <s v="Kavya Patel"/>
    <n v="59"/>
    <x v="6"/>
    <x v="1"/>
    <x v="1"/>
    <d v="2025-09-21T00:00:00"/>
    <x v="1"/>
    <n v="2160155"/>
    <n v="597"/>
    <x v="3"/>
    <x v="1"/>
    <n v="119"/>
    <n v="7315.76"/>
    <x v="0"/>
  </r>
  <r>
    <s v="HSBC100998"/>
    <s v="Rahul Singh"/>
    <n v="37"/>
    <x v="1"/>
    <x v="0"/>
    <x v="1"/>
    <d v="2025-02-24T00:00:00"/>
    <x v="2"/>
    <n v="1958086"/>
    <n v="617"/>
    <x v="3"/>
    <x v="4"/>
    <n v="56"/>
    <n v="16801.77"/>
    <x v="0"/>
  </r>
  <r>
    <s v="HSBC100999"/>
    <s v="Varun Khan"/>
    <n v="40"/>
    <x v="5"/>
    <x v="0"/>
    <x v="0"/>
    <d v="2026-04-03T00:00:00"/>
    <x v="1"/>
    <n v="4437442"/>
    <n v="766"/>
    <x v="3"/>
    <x v="3"/>
    <n v="30"/>
    <n v="2604.81"/>
    <x v="0"/>
  </r>
  <r>
    <s v="HSBC101000"/>
    <s v="Aarav Mehta"/>
    <n v="44"/>
    <x v="7"/>
    <x v="1"/>
    <x v="0"/>
    <d v="2025-06-11T00:00:00"/>
    <x v="1"/>
    <n v="4062197"/>
    <n v="775"/>
    <x v="2"/>
    <x v="2"/>
    <n v="22"/>
    <n v="6059.89"/>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EA4109-5BCF-F04C-A14F-D862C343A9F6}" name="PivotTable4"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69:B78" firstHeaderRow="1" firstDataRow="1" firstDataCol="1"/>
  <pivotFields count="15">
    <pivotField showAll="0"/>
    <pivotField showAll="0"/>
    <pivotField showAll="0"/>
    <pivotField showAll="0">
      <items count="13">
        <item x="8"/>
        <item x="6"/>
        <item x="7"/>
        <item x="4"/>
        <item x="10"/>
        <item x="2"/>
        <item x="1"/>
        <item x="3"/>
        <item x="11"/>
        <item x="5"/>
        <item x="0"/>
        <item x="9"/>
        <item t="default"/>
      </items>
    </pivotField>
    <pivotField showAll="0">
      <items count="5">
        <item x="2"/>
        <item x="0"/>
        <item x="1"/>
        <item x="3"/>
        <item t="default"/>
      </items>
    </pivotField>
    <pivotField showAll="0">
      <items count="5">
        <item x="2"/>
        <item x="3"/>
        <item x="0"/>
        <item x="1"/>
        <item t="default"/>
      </items>
    </pivotField>
    <pivotField numFmtId="164" showAll="0"/>
    <pivotField showAll="0">
      <items count="7">
        <item x="4"/>
        <item x="3"/>
        <item x="0"/>
        <item x="1"/>
        <item x="2"/>
        <item x="5"/>
        <item t="default"/>
      </items>
    </pivotField>
    <pivotField numFmtId="165" showAll="0"/>
    <pivotField showAll="0"/>
    <pivotField axis="axisRow" showAll="0">
      <items count="9">
        <item x="1"/>
        <item x="0"/>
        <item x="2"/>
        <item x="6"/>
        <item x="3"/>
        <item x="4"/>
        <item x="5"/>
        <item x="7"/>
        <item t="default"/>
      </items>
    </pivotField>
    <pivotField showAll="0"/>
    <pivotField showAll="0"/>
    <pivotField dataField="1" numFmtId="165" showAll="0"/>
    <pivotField showAll="0">
      <items count="4">
        <item x="0"/>
        <item x="2"/>
        <item x="1"/>
        <item t="default"/>
      </items>
    </pivotField>
  </pivotFields>
  <rowFields count="1">
    <field x="10"/>
  </rowFields>
  <rowItems count="9">
    <i>
      <x/>
    </i>
    <i>
      <x v="1"/>
    </i>
    <i>
      <x v="2"/>
    </i>
    <i>
      <x v="3"/>
    </i>
    <i>
      <x v="4"/>
    </i>
    <i>
      <x v="5"/>
    </i>
    <i>
      <x v="6"/>
    </i>
    <i>
      <x v="7"/>
    </i>
    <i t="grand">
      <x/>
    </i>
  </rowItems>
  <colItems count="1">
    <i/>
  </colItems>
  <dataFields count="1">
    <dataField name="Sum of Transaction_Amount_INR" fld="13" baseField="0" baseItem="0" numFmtId="166"/>
  </dataFields>
  <formats count="1">
    <format dxfId="7">
      <pivotArea outline="0" collapsedLevelsAreSubtotals="1" fieldPosition="0"/>
    </format>
  </formats>
  <chartFormats count="11">
    <chartFormat chart="3"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0"/>
          </reference>
        </references>
      </pivotArea>
    </chartFormat>
    <chartFormat chart="12" format="19">
      <pivotArea type="data" outline="0" fieldPosition="0">
        <references count="2">
          <reference field="4294967294" count="1" selected="0">
            <x v="0"/>
          </reference>
          <reference field="10" count="1" selected="0">
            <x v="0"/>
          </reference>
        </references>
      </pivotArea>
    </chartFormat>
    <chartFormat chart="12" format="20">
      <pivotArea type="data" outline="0" fieldPosition="0">
        <references count="2">
          <reference field="4294967294" count="1" selected="0">
            <x v="0"/>
          </reference>
          <reference field="10" count="1" selected="0">
            <x v="1"/>
          </reference>
        </references>
      </pivotArea>
    </chartFormat>
    <chartFormat chart="12" format="21">
      <pivotArea type="data" outline="0" fieldPosition="0">
        <references count="2">
          <reference field="4294967294" count="1" selected="0">
            <x v="0"/>
          </reference>
          <reference field="10" count="1" selected="0">
            <x v="2"/>
          </reference>
        </references>
      </pivotArea>
    </chartFormat>
    <chartFormat chart="12" format="22">
      <pivotArea type="data" outline="0" fieldPosition="0">
        <references count="2">
          <reference field="4294967294" count="1" selected="0">
            <x v="0"/>
          </reference>
          <reference field="10" count="1" selected="0">
            <x v="3"/>
          </reference>
        </references>
      </pivotArea>
    </chartFormat>
    <chartFormat chart="12" format="23">
      <pivotArea type="data" outline="0" fieldPosition="0">
        <references count="2">
          <reference field="4294967294" count="1" selected="0">
            <x v="0"/>
          </reference>
          <reference field="10" count="1" selected="0">
            <x v="4"/>
          </reference>
        </references>
      </pivotArea>
    </chartFormat>
    <chartFormat chart="12" format="24">
      <pivotArea type="data" outline="0" fieldPosition="0">
        <references count="2">
          <reference field="4294967294" count="1" selected="0">
            <x v="0"/>
          </reference>
          <reference field="10" count="1" selected="0">
            <x v="5"/>
          </reference>
        </references>
      </pivotArea>
    </chartFormat>
    <chartFormat chart="12" format="25">
      <pivotArea type="data" outline="0" fieldPosition="0">
        <references count="2">
          <reference field="4294967294" count="1" selected="0">
            <x v="0"/>
          </reference>
          <reference field="10" count="1" selected="0">
            <x v="6"/>
          </reference>
        </references>
      </pivotArea>
    </chartFormat>
    <chartFormat chart="12" format="26">
      <pivotArea type="data" outline="0" fieldPosition="0">
        <references count="2">
          <reference field="4294967294" count="1" selected="0">
            <x v="0"/>
          </reference>
          <reference field="1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B76A41-5CAC-004E-A3BB-5CB0D42996BA}" name="PivotTable5"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90:C97" firstHeaderRow="0" firstDataRow="1" firstDataCol="1"/>
  <pivotFields count="15">
    <pivotField showAll="0"/>
    <pivotField showAll="0"/>
    <pivotField showAll="0"/>
    <pivotField showAll="0">
      <items count="13">
        <item x="8"/>
        <item x="6"/>
        <item x="7"/>
        <item x="4"/>
        <item x="10"/>
        <item x="2"/>
        <item x="1"/>
        <item x="3"/>
        <item x="11"/>
        <item x="5"/>
        <item x="0"/>
        <item x="9"/>
        <item t="default"/>
      </items>
    </pivotField>
    <pivotField showAll="0">
      <items count="5">
        <item x="2"/>
        <item x="0"/>
        <item x="1"/>
        <item x="3"/>
        <item t="default"/>
      </items>
    </pivotField>
    <pivotField showAll="0">
      <items count="5">
        <item x="2"/>
        <item x="3"/>
        <item x="0"/>
        <item x="1"/>
        <item t="default"/>
      </items>
    </pivotField>
    <pivotField numFmtId="164" showAll="0"/>
    <pivotField axis="axisRow" showAll="0">
      <items count="7">
        <item x="4"/>
        <item x="3"/>
        <item x="0"/>
        <item x="1"/>
        <item x="2"/>
        <item x="5"/>
        <item t="default"/>
      </items>
    </pivotField>
    <pivotField dataField="1" numFmtId="165" showAll="0"/>
    <pivotField showAll="0" measureFilter="1"/>
    <pivotField showAll="0"/>
    <pivotField showAll="0"/>
    <pivotField showAll="0"/>
    <pivotField dataField="1" numFmtId="165" showAll="0"/>
    <pivotField showAll="0">
      <items count="4">
        <item x="0"/>
        <item x="2"/>
        <item x="1"/>
        <item t="default"/>
      </items>
    </pivotField>
  </pivotFields>
  <rowFields count="1">
    <field x="7"/>
  </rowFields>
  <rowItems count="7">
    <i>
      <x/>
    </i>
    <i>
      <x v="1"/>
    </i>
    <i>
      <x v="2"/>
    </i>
    <i>
      <x v="3"/>
    </i>
    <i>
      <x v="4"/>
    </i>
    <i>
      <x v="5"/>
    </i>
    <i t="grand">
      <x/>
    </i>
  </rowItems>
  <colFields count="1">
    <field x="-2"/>
  </colFields>
  <colItems count="2">
    <i>
      <x/>
    </i>
    <i i="1">
      <x v="1"/>
    </i>
  </colItems>
  <dataFields count="2">
    <dataField name="Average Annual Income " fld="8" subtotal="average" baseField="0" baseItem="0" numFmtId="165"/>
    <dataField name="Average Transaction Amount" fld="13" subtotal="average" baseField="0" baseItem="0" numFmtId="165"/>
  </dataFields>
  <formats count="1">
    <format dxfId="8">
      <pivotArea outline="0" collapsedLevelsAreSubtotals="1" fieldPosition="0"/>
    </format>
  </formats>
  <chartFormats count="8">
    <chartFormat chart="20" format="0"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1"/>
          </reference>
        </references>
      </pivotArea>
    </chartFormat>
    <chartFormat chart="21"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1"/>
          </reference>
        </references>
      </pivotArea>
    </chartFormat>
    <chartFormat chart="25" format="2" series="1">
      <pivotArea type="data" outline="0" fieldPosition="0">
        <references count="1">
          <reference field="4294967294" count="1" selected="0">
            <x v="0"/>
          </reference>
        </references>
      </pivotArea>
    </chartFormat>
    <chartFormat chart="25" format="3" series="1">
      <pivotArea type="data" outline="0" fieldPosition="0">
        <references count="1">
          <reference field="4294967294" count="1" selected="0">
            <x v="1"/>
          </reference>
        </references>
      </pivotArea>
    </chartFormat>
    <chartFormat chart="26" format="4" series="1">
      <pivotArea type="data" outline="0" fieldPosition="0">
        <references count="1">
          <reference field="4294967294" count="1" selected="0">
            <x v="0"/>
          </reference>
        </references>
      </pivotArea>
    </chartFormat>
    <chartFormat chart="2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9" type="count" evalOrder="-1" id="25" iMeasureFld="1">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3CC339-09F5-2E4C-B173-CE47408C3AB9}" name="PivotTable7"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134:B138" firstHeaderRow="1" firstDataRow="1" firstDataCol="1"/>
  <pivotFields count="15">
    <pivotField showAll="0"/>
    <pivotField showAll="0"/>
    <pivotField showAll="0"/>
    <pivotField showAll="0">
      <items count="13">
        <item x="8"/>
        <item x="6"/>
        <item x="7"/>
        <item x="4"/>
        <item x="10"/>
        <item x="2"/>
        <item x="1"/>
        <item x="3"/>
        <item x="11"/>
        <item x="5"/>
        <item x="0"/>
        <item x="9"/>
        <item t="default"/>
      </items>
    </pivotField>
    <pivotField showAll="0">
      <items count="5">
        <item x="2"/>
        <item x="0"/>
        <item x="1"/>
        <item x="3"/>
        <item t="default"/>
      </items>
    </pivotField>
    <pivotField showAll="0">
      <items count="5">
        <item x="2"/>
        <item x="3"/>
        <item x="0"/>
        <item x="1"/>
        <item t="default"/>
      </items>
    </pivotField>
    <pivotField numFmtId="164" showAll="0"/>
    <pivotField showAll="0">
      <items count="7">
        <item x="4"/>
        <item x="3"/>
        <item x="0"/>
        <item x="1"/>
        <item x="2"/>
        <item x="5"/>
        <item t="default"/>
      </items>
    </pivotField>
    <pivotField numFmtId="165" showAll="0"/>
    <pivotField showAll="0" measureFilter="1"/>
    <pivotField showAll="0"/>
    <pivotField showAll="0"/>
    <pivotField showAll="0"/>
    <pivotField dataField="1" numFmtId="165" showAll="0"/>
    <pivotField axis="axisRow" showAll="0">
      <items count="4">
        <item x="0"/>
        <item x="2"/>
        <item x="1"/>
        <item t="default"/>
      </items>
    </pivotField>
  </pivotFields>
  <rowFields count="1">
    <field x="14"/>
  </rowFields>
  <rowItems count="4">
    <i>
      <x/>
    </i>
    <i>
      <x v="1"/>
    </i>
    <i>
      <x v="2"/>
    </i>
    <i t="grand">
      <x/>
    </i>
  </rowItems>
  <colItems count="1">
    <i/>
  </colItems>
  <dataFields count="1">
    <dataField name="Sum of Transaction Amount" fld="13" baseField="0" baseItem="0" numFmtId="165"/>
  </dataFields>
  <formats count="1">
    <format dxfId="9">
      <pivotArea outline="0" collapsedLevelsAreSubtotals="1" fieldPosition="0"/>
    </format>
  </formats>
  <chartFormats count="7">
    <chartFormat chart="12"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22" format="8" series="1">
      <pivotArea type="data" outline="0" fieldPosition="0">
        <references count="1">
          <reference field="4294967294" count="1" selected="0">
            <x v="0"/>
          </reference>
        </references>
      </pivotArea>
    </chartFormat>
    <chartFormat chart="22" format="9">
      <pivotArea type="data" outline="0" fieldPosition="0">
        <references count="2">
          <reference field="4294967294" count="1" selected="0">
            <x v="0"/>
          </reference>
          <reference field="14" count="1" selected="0">
            <x v="0"/>
          </reference>
        </references>
      </pivotArea>
    </chartFormat>
    <chartFormat chart="22" format="10">
      <pivotArea type="data" outline="0" fieldPosition="0">
        <references count="2">
          <reference field="4294967294" count="1" selected="0">
            <x v="0"/>
          </reference>
          <reference field="14" count="1" selected="0">
            <x v="1"/>
          </reference>
        </references>
      </pivotArea>
    </chartFormat>
    <chartFormat chart="22" format="1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filters count="1">
    <filter fld="9" type="count" evalOrder="-1" id="2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E60CE2-AA6B-2D41-93CD-45F8169CF409}"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9:B14" firstHeaderRow="1" firstDataRow="1" firstDataCol="1"/>
  <pivotFields count="15">
    <pivotField showAll="0"/>
    <pivotField showAll="0"/>
    <pivotField showAll="0"/>
    <pivotField showAll="0">
      <items count="13">
        <item x="8"/>
        <item x="6"/>
        <item x="7"/>
        <item x="4"/>
        <item x="10"/>
        <item x="2"/>
        <item x="1"/>
        <item x="3"/>
        <item x="11"/>
        <item x="5"/>
        <item x="0"/>
        <item x="9"/>
        <item t="default"/>
      </items>
    </pivotField>
    <pivotField axis="axisRow" showAll="0">
      <items count="5">
        <item x="2"/>
        <item x="0"/>
        <item x="1"/>
        <item x="3"/>
        <item t="default"/>
      </items>
    </pivotField>
    <pivotField showAll="0">
      <items count="5">
        <item x="2"/>
        <item x="3"/>
        <item x="0"/>
        <item x="1"/>
        <item t="default"/>
      </items>
    </pivotField>
    <pivotField numFmtId="164" showAll="0"/>
    <pivotField showAll="0">
      <items count="7">
        <item x="4"/>
        <item x="3"/>
        <item x="0"/>
        <item x="1"/>
        <item x="2"/>
        <item x="5"/>
        <item t="default"/>
      </items>
    </pivotField>
    <pivotField numFmtId="165" showAll="0"/>
    <pivotField showAll="0"/>
    <pivotField showAll="0"/>
    <pivotField showAll="0"/>
    <pivotField showAll="0"/>
    <pivotField dataField="1" numFmtId="165" showAll="0"/>
    <pivotField showAll="0">
      <items count="4">
        <item x="0"/>
        <item x="2"/>
        <item x="1"/>
        <item t="default"/>
      </items>
    </pivotField>
  </pivotFields>
  <rowFields count="1">
    <field x="4"/>
  </rowFields>
  <rowItems count="5">
    <i>
      <x/>
    </i>
    <i>
      <x v="1"/>
    </i>
    <i>
      <x v="2"/>
    </i>
    <i>
      <x v="3"/>
    </i>
    <i t="grand">
      <x/>
    </i>
  </rowItems>
  <colItems count="1">
    <i/>
  </colItems>
  <dataFields count="1">
    <dataField name="Sum of Transaction_Amount_INR" fld="13" baseField="0" baseItem="0" numFmtId="165"/>
  </dataFields>
  <formats count="1">
    <format dxfId="10">
      <pivotArea collapsedLevelsAreSubtotals="1" fieldPosition="0">
        <references count="1">
          <reference field="4" count="0"/>
        </references>
      </pivotArea>
    </format>
  </formats>
  <chartFormats count="5">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4" count="1" selected="0">
            <x v="0"/>
          </reference>
        </references>
      </pivotArea>
    </chartFormat>
    <chartFormat chart="4" format="12">
      <pivotArea type="data" outline="0" fieldPosition="0">
        <references count="2">
          <reference field="4294967294" count="1" selected="0">
            <x v="0"/>
          </reference>
          <reference field="4" count="1" selected="0">
            <x v="1"/>
          </reference>
        </references>
      </pivotArea>
    </chartFormat>
    <chartFormat chart="4" format="13">
      <pivotArea type="data" outline="0" fieldPosition="0">
        <references count="2">
          <reference field="4294967294" count="1" selected="0">
            <x v="0"/>
          </reference>
          <reference field="4" count="1" selected="0">
            <x v="2"/>
          </reference>
        </references>
      </pivotArea>
    </chartFormat>
    <chartFormat chart="4" format="14">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F0790CB-E34E-8440-B7F3-BBA212FD9079}" name="PivotTable6"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114:B120" firstHeaderRow="1" firstDataRow="1" firstDataCol="1"/>
  <pivotFields count="15">
    <pivotField showAll="0"/>
    <pivotField showAll="0"/>
    <pivotField showAll="0"/>
    <pivotField showAll="0">
      <items count="13">
        <item x="8"/>
        <item x="6"/>
        <item x="7"/>
        <item x="4"/>
        <item x="10"/>
        <item x="2"/>
        <item x="1"/>
        <item x="3"/>
        <item x="11"/>
        <item x="5"/>
        <item x="0"/>
        <item x="9"/>
        <item t="default"/>
      </items>
    </pivotField>
    <pivotField showAll="0">
      <items count="5">
        <item x="2"/>
        <item x="0"/>
        <item x="1"/>
        <item x="3"/>
        <item t="default"/>
      </items>
    </pivotField>
    <pivotField showAll="0">
      <items count="5">
        <item x="2"/>
        <item x="3"/>
        <item x="0"/>
        <item x="1"/>
        <item t="default"/>
      </items>
    </pivotField>
    <pivotField numFmtId="164" showAll="0"/>
    <pivotField showAll="0">
      <items count="7">
        <item x="4"/>
        <item x="3"/>
        <item x="0"/>
        <item x="1"/>
        <item x="2"/>
        <item x="5"/>
        <item t="default"/>
      </items>
    </pivotField>
    <pivotField numFmtId="165" showAll="0"/>
    <pivotField showAll="0" measureFilter="1"/>
    <pivotField showAll="0"/>
    <pivotField axis="axisRow" showAll="0">
      <items count="7">
        <item x="3"/>
        <item x="1"/>
        <item x="4"/>
        <item x="0"/>
        <item x="2"/>
        <item h="1" x="5"/>
        <item t="default"/>
      </items>
    </pivotField>
    <pivotField showAll="0"/>
    <pivotField dataField="1" numFmtId="165" showAll="0"/>
    <pivotField showAll="0">
      <items count="4">
        <item x="0"/>
        <item x="2"/>
        <item x="1"/>
        <item t="default"/>
      </items>
    </pivotField>
  </pivotFields>
  <rowFields count="1">
    <field x="11"/>
  </rowFields>
  <rowItems count="6">
    <i>
      <x/>
    </i>
    <i>
      <x v="1"/>
    </i>
    <i>
      <x v="2"/>
    </i>
    <i>
      <x v="3"/>
    </i>
    <i>
      <x v="4"/>
    </i>
    <i t="grand">
      <x/>
    </i>
  </rowItems>
  <colItems count="1">
    <i/>
  </colItems>
  <dataFields count="1">
    <dataField name="Sum of Transaction Amount" fld="13" baseField="0" baseItem="0" numFmtId="165"/>
  </dataFields>
  <formats count="1">
    <format dxfId="11">
      <pivotArea outline="0" collapsedLevelsAreSubtotals="1" fieldPosition="0"/>
    </format>
  </formats>
  <chartFormats count="8">
    <chartFormat chart="12"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9" format="12" series="1">
      <pivotArea type="data" outline="0" fieldPosition="0">
        <references count="1">
          <reference field="4294967294" count="1" selected="0">
            <x v="0"/>
          </reference>
        </references>
      </pivotArea>
    </chartFormat>
    <chartFormat chart="19" format="13">
      <pivotArea type="data" outline="0" fieldPosition="0">
        <references count="2">
          <reference field="4294967294" count="1" selected="0">
            <x v="0"/>
          </reference>
          <reference field="11" count="1" selected="0">
            <x v="0"/>
          </reference>
        </references>
      </pivotArea>
    </chartFormat>
    <chartFormat chart="19" format="14">
      <pivotArea type="data" outline="0" fieldPosition="0">
        <references count="2">
          <reference field="4294967294" count="1" selected="0">
            <x v="0"/>
          </reference>
          <reference field="11" count="1" selected="0">
            <x v="1"/>
          </reference>
        </references>
      </pivotArea>
    </chartFormat>
    <chartFormat chart="19" format="15">
      <pivotArea type="data" outline="0" fieldPosition="0">
        <references count="2">
          <reference field="4294967294" count="1" selected="0">
            <x v="0"/>
          </reference>
          <reference field="11" count="1" selected="0">
            <x v="2"/>
          </reference>
        </references>
      </pivotArea>
    </chartFormat>
    <chartFormat chart="19" format="16">
      <pivotArea type="data" outline="0" fieldPosition="0">
        <references count="2">
          <reference field="4294967294" count="1" selected="0">
            <x v="0"/>
          </reference>
          <reference field="11" count="1" selected="0">
            <x v="3"/>
          </reference>
        </references>
      </pivotArea>
    </chartFormat>
    <chartFormat chart="19" format="17">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filters count="1">
    <filter fld="9" type="count" evalOrder="-1" id="2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C91A32B-5433-8B49-BCC7-D2785766CF4F}" name="PivotTable3"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40:B53" firstHeaderRow="1" firstDataRow="1" firstDataCol="1"/>
  <pivotFields count="15">
    <pivotField showAll="0"/>
    <pivotField showAll="0"/>
    <pivotField showAll="0"/>
    <pivotField axis="axisRow" showAll="0">
      <items count="13">
        <item x="8"/>
        <item x="6"/>
        <item x="7"/>
        <item x="4"/>
        <item x="10"/>
        <item x="2"/>
        <item x="1"/>
        <item x="3"/>
        <item x="11"/>
        <item x="5"/>
        <item x="0"/>
        <item x="9"/>
        <item t="default"/>
      </items>
    </pivotField>
    <pivotField showAll="0">
      <items count="5">
        <item x="2"/>
        <item x="0"/>
        <item x="1"/>
        <item x="3"/>
        <item t="default"/>
      </items>
    </pivotField>
    <pivotField showAll="0">
      <items count="5">
        <item x="2"/>
        <item x="3"/>
        <item x="0"/>
        <item x="1"/>
        <item t="default"/>
      </items>
    </pivotField>
    <pivotField numFmtId="164" showAll="0"/>
    <pivotField showAll="0">
      <items count="7">
        <item x="4"/>
        <item x="3"/>
        <item x="0"/>
        <item x="1"/>
        <item x="2"/>
        <item x="5"/>
        <item t="default"/>
      </items>
    </pivotField>
    <pivotField numFmtId="165" showAll="0"/>
    <pivotField showAll="0"/>
    <pivotField showAll="0"/>
    <pivotField showAll="0"/>
    <pivotField showAll="0"/>
    <pivotField dataField="1" numFmtId="165" showAll="0"/>
    <pivotField showAll="0">
      <items count="4">
        <item x="0"/>
        <item x="2"/>
        <item x="1"/>
        <item t="default"/>
      </items>
    </pivotField>
  </pivotFields>
  <rowFields count="1">
    <field x="3"/>
  </rowFields>
  <rowItems count="13">
    <i>
      <x/>
    </i>
    <i>
      <x v="1"/>
    </i>
    <i>
      <x v="2"/>
    </i>
    <i>
      <x v="3"/>
    </i>
    <i>
      <x v="4"/>
    </i>
    <i>
      <x v="5"/>
    </i>
    <i>
      <x v="6"/>
    </i>
    <i>
      <x v="7"/>
    </i>
    <i>
      <x v="8"/>
    </i>
    <i>
      <x v="9"/>
    </i>
    <i>
      <x v="10"/>
    </i>
    <i>
      <x v="11"/>
    </i>
    <i t="grand">
      <x/>
    </i>
  </rowItems>
  <colItems count="1">
    <i/>
  </colItems>
  <dataFields count="1">
    <dataField name="Sum of Transaction_Amount_INR" fld="13" baseField="0" baseItem="0" numFmtId="166"/>
  </dataFields>
  <formats count="1">
    <format dxfId="12">
      <pivotArea outline="0" collapsedLevelsAreSubtotals="1" fieldPosition="0"/>
    </format>
  </formats>
  <chartFormats count="14">
    <chartFormat chart="3" format="0" series="1">
      <pivotArea type="data" outline="0" fieldPosition="0">
        <references count="1">
          <reference field="4294967294" count="1" selected="0">
            <x v="0"/>
          </reference>
        </references>
      </pivotArea>
    </chartFormat>
    <chartFormat chart="9" format="26" series="1">
      <pivotArea type="data" outline="0" fieldPosition="0">
        <references count="1">
          <reference field="4294967294" count="1" selected="0">
            <x v="0"/>
          </reference>
        </references>
      </pivotArea>
    </chartFormat>
    <chartFormat chart="9" format="27">
      <pivotArea type="data" outline="0" fieldPosition="0">
        <references count="2">
          <reference field="4294967294" count="1" selected="0">
            <x v="0"/>
          </reference>
          <reference field="3" count="1" selected="0">
            <x v="0"/>
          </reference>
        </references>
      </pivotArea>
    </chartFormat>
    <chartFormat chart="9" format="28">
      <pivotArea type="data" outline="0" fieldPosition="0">
        <references count="2">
          <reference field="4294967294" count="1" selected="0">
            <x v="0"/>
          </reference>
          <reference field="3" count="1" selected="0">
            <x v="1"/>
          </reference>
        </references>
      </pivotArea>
    </chartFormat>
    <chartFormat chart="9" format="29">
      <pivotArea type="data" outline="0" fieldPosition="0">
        <references count="2">
          <reference field="4294967294" count="1" selected="0">
            <x v="0"/>
          </reference>
          <reference field="3" count="1" selected="0">
            <x v="2"/>
          </reference>
        </references>
      </pivotArea>
    </chartFormat>
    <chartFormat chart="9" format="30">
      <pivotArea type="data" outline="0" fieldPosition="0">
        <references count="2">
          <reference field="4294967294" count="1" selected="0">
            <x v="0"/>
          </reference>
          <reference field="3" count="1" selected="0">
            <x v="3"/>
          </reference>
        </references>
      </pivotArea>
    </chartFormat>
    <chartFormat chart="9" format="31">
      <pivotArea type="data" outline="0" fieldPosition="0">
        <references count="2">
          <reference field="4294967294" count="1" selected="0">
            <x v="0"/>
          </reference>
          <reference field="3" count="1" selected="0">
            <x v="4"/>
          </reference>
        </references>
      </pivotArea>
    </chartFormat>
    <chartFormat chart="9" format="32">
      <pivotArea type="data" outline="0" fieldPosition="0">
        <references count="2">
          <reference field="4294967294" count="1" selected="0">
            <x v="0"/>
          </reference>
          <reference field="3" count="1" selected="0">
            <x v="5"/>
          </reference>
        </references>
      </pivotArea>
    </chartFormat>
    <chartFormat chart="9" format="33">
      <pivotArea type="data" outline="0" fieldPosition="0">
        <references count="2">
          <reference field="4294967294" count="1" selected="0">
            <x v="0"/>
          </reference>
          <reference field="3" count="1" selected="0">
            <x v="6"/>
          </reference>
        </references>
      </pivotArea>
    </chartFormat>
    <chartFormat chart="9" format="34">
      <pivotArea type="data" outline="0" fieldPosition="0">
        <references count="2">
          <reference field="4294967294" count="1" selected="0">
            <x v="0"/>
          </reference>
          <reference field="3" count="1" selected="0">
            <x v="7"/>
          </reference>
        </references>
      </pivotArea>
    </chartFormat>
    <chartFormat chart="9" format="35">
      <pivotArea type="data" outline="0" fieldPosition="0">
        <references count="2">
          <reference field="4294967294" count="1" selected="0">
            <x v="0"/>
          </reference>
          <reference field="3" count="1" selected="0">
            <x v="8"/>
          </reference>
        </references>
      </pivotArea>
    </chartFormat>
    <chartFormat chart="9" format="36">
      <pivotArea type="data" outline="0" fieldPosition="0">
        <references count="2">
          <reference field="4294967294" count="1" selected="0">
            <x v="0"/>
          </reference>
          <reference field="3" count="1" selected="0">
            <x v="9"/>
          </reference>
        </references>
      </pivotArea>
    </chartFormat>
    <chartFormat chart="9" format="37">
      <pivotArea type="data" outline="0" fieldPosition="0">
        <references count="2">
          <reference field="4294967294" count="1" selected="0">
            <x v="0"/>
          </reference>
          <reference field="3" count="1" selected="0">
            <x v="10"/>
          </reference>
        </references>
      </pivotArea>
    </chartFormat>
    <chartFormat chart="9" format="38">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537DD5C-5878-DF46-A3CE-9CAAB1C5B871}" name="PivotTable2"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0:B25" firstHeaderRow="1" firstDataRow="1" firstDataCol="1"/>
  <pivotFields count="15">
    <pivotField showAll="0"/>
    <pivotField showAll="0"/>
    <pivotField showAll="0"/>
    <pivotField showAll="0">
      <items count="13">
        <item x="8"/>
        <item x="6"/>
        <item x="7"/>
        <item x="4"/>
        <item x="10"/>
        <item x="2"/>
        <item x="1"/>
        <item x="3"/>
        <item x="11"/>
        <item x="5"/>
        <item x="0"/>
        <item x="9"/>
        <item t="default"/>
      </items>
    </pivotField>
    <pivotField showAll="0">
      <items count="5">
        <item x="2"/>
        <item x="0"/>
        <item x="1"/>
        <item x="3"/>
        <item t="default"/>
      </items>
    </pivotField>
    <pivotField axis="axisRow" showAll="0">
      <items count="5">
        <item x="2"/>
        <item x="3"/>
        <item x="0"/>
        <item x="1"/>
        <item t="default"/>
      </items>
    </pivotField>
    <pivotField numFmtId="164" showAll="0"/>
    <pivotField showAll="0">
      <items count="7">
        <item x="4"/>
        <item x="3"/>
        <item x="0"/>
        <item x="1"/>
        <item x="2"/>
        <item x="5"/>
        <item t="default"/>
      </items>
    </pivotField>
    <pivotField numFmtId="165" showAll="0"/>
    <pivotField showAll="0"/>
    <pivotField showAll="0"/>
    <pivotField showAll="0"/>
    <pivotField showAll="0"/>
    <pivotField dataField="1" numFmtId="165" showAll="0"/>
    <pivotField showAll="0">
      <items count="4">
        <item x="0"/>
        <item x="2"/>
        <item x="1"/>
        <item t="default"/>
      </items>
    </pivotField>
  </pivotFields>
  <rowFields count="1">
    <field x="5"/>
  </rowFields>
  <rowItems count="5">
    <i>
      <x/>
    </i>
    <i>
      <x v="1"/>
    </i>
    <i>
      <x v="2"/>
    </i>
    <i>
      <x v="3"/>
    </i>
    <i t="grand">
      <x/>
    </i>
  </rowItems>
  <colItems count="1">
    <i/>
  </colItems>
  <dataFields count="1">
    <dataField name="Sum of Transaction_Amount_INR" fld="13" baseField="0" baseItem="0" numFmtId="166"/>
  </dataFields>
  <formats count="1">
    <format dxfId="13">
      <pivotArea outline="0" collapsedLevelsAreSubtotals="1" fieldPosition="0"/>
    </format>
  </formats>
  <chartFormats count="5">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5" count="1" selected="0">
            <x v="0"/>
          </reference>
        </references>
      </pivotArea>
    </chartFormat>
    <chartFormat chart="7" format="12">
      <pivotArea type="data" outline="0" fieldPosition="0">
        <references count="2">
          <reference field="4294967294" count="1" selected="0">
            <x v="0"/>
          </reference>
          <reference field="5" count="1" selected="0">
            <x v="1"/>
          </reference>
        </references>
      </pivotArea>
    </chartFormat>
    <chartFormat chart="7" format="13">
      <pivotArea type="data" outline="0" fieldPosition="0">
        <references count="2">
          <reference field="4294967294" count="1" selected="0">
            <x v="0"/>
          </reference>
          <reference field="5" count="1" selected="0">
            <x v="2"/>
          </reference>
        </references>
      </pivotArea>
    </chartFormat>
    <chartFormat chart="7" format="14">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Type" xr10:uid="{CE4D2D99-62CC-FF4C-B2EB-519D02BAEBA2}" sourceName="Account_Type">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1379111862">
      <items count="4">
        <i x="2" s="1"/>
        <i x="3"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C4585B65-827D-354B-A025-2A01EDD4A26F}" sourceName="City">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1379111862">
      <items count="12">
        <i x="8" s="1"/>
        <i x="6" s="1"/>
        <i x="7" s="1"/>
        <i x="4" s="1"/>
        <i x="10" s="1"/>
        <i x="2" s="1"/>
        <i x="1" s="1"/>
        <i x="3" s="1"/>
        <i x="11" s="1"/>
        <i x="5" s="1"/>
        <i x="0" s="1"/>
        <i x="9"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ment_Type" xr10:uid="{68FD3479-6864-454E-9F02-2200ACBD3B84}" sourceName="Employment_Type">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1379111862">
      <items count="6">
        <i x="4" s="1"/>
        <i x="3" s="1"/>
        <i x="0" s="1"/>
        <i x="1" s="1"/>
        <i x="2"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5CBC1A15-ADFF-CC41-AD7A-AF6AD825FE1F}" sourceName="Customer_Segment">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1379111862">
      <items count="4">
        <i x="2" s="1"/>
        <i x="0" s="1"/>
        <i x="1"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tatus" xr10:uid="{014F1DAF-F0EA-1842-9029-C62E3E3E4F28}" sourceName="Customer_Status">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1379111862">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Type" xr10:uid="{AFBE947B-706F-D84D-B1AA-6E7EB89129B0}" cache="Slicer_Account_Type" caption="Account Type" columnCount="2" style="SlicerStyleDark2" rowHeight="230716"/>
  <slicer name="City" xr10:uid="{A96CA2AB-28B6-7D40-8881-76BBE054A516}" cache="Slicer_City" caption="City" columnCount="2" style="SlicerStyleDark2" rowHeight="230716"/>
  <slicer name="Employment_Type" xr10:uid="{F5C0D75B-4ADE-8246-8CF1-60676757F629}" cache="Slicer_Employment_Type" caption="Employment Type" columnCount="2" style="SlicerStyleDark2" rowHeight="230716"/>
  <slicer name="Customer_Segment" xr10:uid="{253AE323-368D-9249-A678-85C118B9B175}" cache="Slicer_Customer_Segment" caption="Customer Segment" columnCount="2" style="SlicerStyleDark2" rowHeight="230716"/>
  <slicer name="Customer_Status" xr10:uid="{DBFDC173-1503-B945-9EC5-7DA264E2288E}" cache="Slicer_Customer_Status" caption="Customer Status" columnCount="3" style="SlicerStyleDark2"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2">
          <a:schemeClr val="dk1"/>
        </a:lnRef>
        <a:fillRef idx="1">
          <a:schemeClr val="lt1"/>
        </a:fillRef>
        <a:effectRef idx="0">
          <a:schemeClr val="dk1"/>
        </a:effectRef>
        <a:fontRef idx="minor">
          <a:schemeClr val="dk1"/>
        </a:fontRef>
      </a:style>
    </a:sp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O1001"/>
  <sheetViews>
    <sheetView tabSelected="1" workbookViewId="0">
      <pane ySplit="1" topLeftCell="A2" activePane="bottomLeft" state="frozen"/>
      <selection pane="bottomLeft" activeCell="A2" sqref="A2:A1001"/>
    </sheetView>
  </sheetViews>
  <sheetFormatPr baseColWidth="10" defaultColWidth="8.83203125" defaultRowHeight="15" x14ac:dyDescent="0.2"/>
  <cols>
    <col min="1" max="1" width="14" customWidth="1"/>
    <col min="2" max="2" width="22" customWidth="1"/>
    <col min="3" max="3" width="9" customWidth="1"/>
    <col min="4" max="4" width="16" customWidth="1"/>
    <col min="5" max="5" width="20" customWidth="1"/>
    <col min="6" max="8" width="18" customWidth="1"/>
    <col min="9" max="9" width="20" customWidth="1"/>
    <col min="10" max="10" width="14" customWidth="1"/>
    <col min="11" max="11" width="20" customWidth="1"/>
    <col min="12" max="12" width="22" customWidth="1"/>
    <col min="13" max="13" width="19" customWidth="1"/>
    <col min="14" max="14" width="25" customWidth="1"/>
    <col min="15" max="15" width="18" customWidth="1"/>
  </cols>
  <sheetData>
    <row r="1" spans="1:15" x14ac:dyDescent="0.2">
      <c r="A1" s="1" t="s">
        <v>1364</v>
      </c>
      <c r="B1" s="1" t="s">
        <v>0</v>
      </c>
      <c r="C1" s="1" t="s">
        <v>1</v>
      </c>
      <c r="D1" s="1" t="s">
        <v>2</v>
      </c>
      <c r="E1" s="1" t="s">
        <v>3</v>
      </c>
      <c r="F1" s="1" t="s">
        <v>4</v>
      </c>
      <c r="G1" s="1" t="s">
        <v>5</v>
      </c>
      <c r="H1" s="1" t="s">
        <v>6</v>
      </c>
      <c r="I1" s="1" t="s">
        <v>7</v>
      </c>
      <c r="J1" s="1" t="s">
        <v>8</v>
      </c>
      <c r="K1" s="1" t="s">
        <v>9</v>
      </c>
      <c r="L1" s="1" t="s">
        <v>10</v>
      </c>
      <c r="M1" s="1" t="s">
        <v>11</v>
      </c>
      <c r="N1" s="1" t="s">
        <v>12</v>
      </c>
      <c r="O1" s="1" t="s">
        <v>13</v>
      </c>
    </row>
    <row r="2" spans="1:15" x14ac:dyDescent="0.2">
      <c r="A2" t="s">
        <v>14</v>
      </c>
      <c r="B2" t="s">
        <v>15</v>
      </c>
      <c r="C2">
        <v>43</v>
      </c>
      <c r="D2" t="s">
        <v>16</v>
      </c>
      <c r="E2" t="s">
        <v>17</v>
      </c>
      <c r="F2" t="s">
        <v>18</v>
      </c>
      <c r="G2" s="2">
        <v>45760</v>
      </c>
      <c r="H2" t="s">
        <v>19</v>
      </c>
      <c r="I2" s="3">
        <v>4230527</v>
      </c>
      <c r="J2">
        <v>740</v>
      </c>
      <c r="K2" t="s">
        <v>20</v>
      </c>
      <c r="L2" t="s">
        <v>21</v>
      </c>
      <c r="M2">
        <v>29</v>
      </c>
      <c r="N2" s="3">
        <v>5102.1499999999996</v>
      </c>
      <c r="O2" t="s">
        <v>22</v>
      </c>
    </row>
    <row r="3" spans="1:15" x14ac:dyDescent="0.2">
      <c r="A3" t="s">
        <v>23</v>
      </c>
      <c r="B3" t="s">
        <v>24</v>
      </c>
      <c r="C3">
        <v>23</v>
      </c>
      <c r="D3" t="s">
        <v>25</v>
      </c>
      <c r="E3" t="s">
        <v>26</v>
      </c>
      <c r="F3" t="s">
        <v>27</v>
      </c>
      <c r="G3" s="2">
        <v>46093</v>
      </c>
      <c r="H3" t="s">
        <v>28</v>
      </c>
      <c r="I3" s="3">
        <v>1170243</v>
      </c>
      <c r="J3">
        <v>777</v>
      </c>
      <c r="K3" t="s">
        <v>29</v>
      </c>
      <c r="L3" t="s">
        <v>30</v>
      </c>
      <c r="M3">
        <v>74</v>
      </c>
      <c r="N3" s="3">
        <v>4822.08</v>
      </c>
      <c r="O3" t="s">
        <v>22</v>
      </c>
    </row>
    <row r="4" spans="1:15" x14ac:dyDescent="0.2">
      <c r="A4" t="s">
        <v>31</v>
      </c>
      <c r="B4" t="s">
        <v>32</v>
      </c>
      <c r="C4">
        <v>24</v>
      </c>
      <c r="D4" t="s">
        <v>25</v>
      </c>
      <c r="E4" t="s">
        <v>26</v>
      </c>
      <c r="F4" t="s">
        <v>27</v>
      </c>
      <c r="G4" s="2">
        <v>45928</v>
      </c>
      <c r="H4" t="s">
        <v>33</v>
      </c>
      <c r="I4" s="3">
        <v>3671103</v>
      </c>
      <c r="J4">
        <v>738</v>
      </c>
      <c r="K4" t="s">
        <v>34</v>
      </c>
      <c r="L4" t="s">
        <v>30</v>
      </c>
      <c r="M4">
        <v>50</v>
      </c>
      <c r="N4" s="3">
        <v>3389.59</v>
      </c>
      <c r="O4" t="s">
        <v>22</v>
      </c>
    </row>
    <row r="5" spans="1:15" x14ac:dyDescent="0.2">
      <c r="A5" t="s">
        <v>35</v>
      </c>
      <c r="B5" t="s">
        <v>36</v>
      </c>
      <c r="C5">
        <v>45</v>
      </c>
      <c r="D5" t="s">
        <v>37</v>
      </c>
      <c r="E5" t="s">
        <v>26</v>
      </c>
      <c r="F5" t="s">
        <v>18</v>
      </c>
      <c r="G5" s="2">
        <v>45764</v>
      </c>
      <c r="H5" t="s">
        <v>33</v>
      </c>
      <c r="I5" s="3">
        <v>3652410</v>
      </c>
      <c r="J5">
        <v>659</v>
      </c>
      <c r="K5" t="s">
        <v>20</v>
      </c>
      <c r="L5" t="s">
        <v>38</v>
      </c>
      <c r="M5">
        <v>112</v>
      </c>
      <c r="N5" s="3">
        <v>2874.9</v>
      </c>
      <c r="O5" t="s">
        <v>39</v>
      </c>
    </row>
    <row r="6" spans="1:15" x14ac:dyDescent="0.2">
      <c r="A6" t="s">
        <v>40</v>
      </c>
      <c r="B6" t="s">
        <v>41</v>
      </c>
      <c r="C6">
        <v>67</v>
      </c>
      <c r="D6" t="s">
        <v>42</v>
      </c>
      <c r="E6" t="s">
        <v>26</v>
      </c>
      <c r="F6" t="s">
        <v>43</v>
      </c>
      <c r="G6" s="2">
        <v>45729</v>
      </c>
      <c r="H6" t="s">
        <v>44</v>
      </c>
      <c r="I6" s="3">
        <v>2586038</v>
      </c>
      <c r="J6">
        <v>610</v>
      </c>
      <c r="K6" t="s">
        <v>34</v>
      </c>
      <c r="L6" t="s">
        <v>45</v>
      </c>
      <c r="M6">
        <v>5</v>
      </c>
      <c r="N6" s="3">
        <v>61721.47</v>
      </c>
      <c r="O6" t="s">
        <v>22</v>
      </c>
    </row>
    <row r="7" spans="1:15" x14ac:dyDescent="0.2">
      <c r="A7" t="s">
        <v>46</v>
      </c>
      <c r="B7" t="s">
        <v>47</v>
      </c>
      <c r="C7">
        <v>58</v>
      </c>
      <c r="D7" t="s">
        <v>48</v>
      </c>
      <c r="E7" t="s">
        <v>26</v>
      </c>
      <c r="F7" t="s">
        <v>27</v>
      </c>
      <c r="G7" s="2">
        <v>45678</v>
      </c>
      <c r="H7" t="s">
        <v>28</v>
      </c>
      <c r="I7" s="3">
        <v>1440283</v>
      </c>
      <c r="J7">
        <v>691</v>
      </c>
      <c r="K7" t="s">
        <v>20</v>
      </c>
      <c r="L7" t="s">
        <v>30</v>
      </c>
      <c r="M7">
        <v>72</v>
      </c>
      <c r="N7" s="3">
        <v>10208.19</v>
      </c>
      <c r="O7" t="s">
        <v>22</v>
      </c>
    </row>
    <row r="8" spans="1:15" x14ac:dyDescent="0.2">
      <c r="A8" t="s">
        <v>49</v>
      </c>
      <c r="B8" t="s">
        <v>50</v>
      </c>
      <c r="C8">
        <v>35</v>
      </c>
      <c r="D8" t="s">
        <v>51</v>
      </c>
      <c r="E8" t="s">
        <v>17</v>
      </c>
      <c r="F8" t="s">
        <v>18</v>
      </c>
      <c r="G8" s="2">
        <v>45779</v>
      </c>
      <c r="H8" t="s">
        <v>52</v>
      </c>
      <c r="I8" s="3">
        <v>671001</v>
      </c>
      <c r="J8">
        <v>625</v>
      </c>
      <c r="K8" t="s">
        <v>29</v>
      </c>
      <c r="L8" t="s">
        <v>38</v>
      </c>
      <c r="M8">
        <v>110</v>
      </c>
      <c r="N8" s="3">
        <v>7607.83</v>
      </c>
      <c r="O8" t="s">
        <v>22</v>
      </c>
    </row>
    <row r="9" spans="1:15" x14ac:dyDescent="0.2">
      <c r="A9" t="s">
        <v>53</v>
      </c>
      <c r="B9" t="s">
        <v>54</v>
      </c>
      <c r="C9">
        <v>41</v>
      </c>
      <c r="D9" t="s">
        <v>55</v>
      </c>
      <c r="E9" t="s">
        <v>56</v>
      </c>
      <c r="F9" t="s">
        <v>43</v>
      </c>
      <c r="G9" s="2">
        <v>46124</v>
      </c>
      <c r="I9" s="3">
        <v>4146134</v>
      </c>
      <c r="J9">
        <v>784</v>
      </c>
      <c r="K9" t="s">
        <v>57</v>
      </c>
      <c r="L9" t="s">
        <v>58</v>
      </c>
      <c r="M9">
        <v>69</v>
      </c>
      <c r="N9" s="3">
        <v>5320.49</v>
      </c>
      <c r="O9" t="s">
        <v>22</v>
      </c>
    </row>
    <row r="10" spans="1:15" x14ac:dyDescent="0.2">
      <c r="A10" t="s">
        <v>59</v>
      </c>
      <c r="B10" t="s">
        <v>60</v>
      </c>
      <c r="C10">
        <v>55</v>
      </c>
      <c r="D10" t="s">
        <v>48</v>
      </c>
      <c r="E10" t="s">
        <v>56</v>
      </c>
      <c r="F10" t="s">
        <v>18</v>
      </c>
      <c r="G10" s="2">
        <v>45872</v>
      </c>
      <c r="H10" t="s">
        <v>28</v>
      </c>
      <c r="I10" s="3">
        <v>3085309</v>
      </c>
      <c r="J10">
        <v>631</v>
      </c>
      <c r="K10" t="s">
        <v>29</v>
      </c>
      <c r="L10" t="s">
        <v>45</v>
      </c>
      <c r="M10">
        <v>88</v>
      </c>
      <c r="N10" s="3">
        <v>14049.23</v>
      </c>
      <c r="O10" t="s">
        <v>22</v>
      </c>
    </row>
    <row r="11" spans="1:15" x14ac:dyDescent="0.2">
      <c r="A11" t="s">
        <v>61</v>
      </c>
      <c r="B11" t="s">
        <v>62</v>
      </c>
      <c r="C11">
        <v>66</v>
      </c>
      <c r="D11" t="s">
        <v>37</v>
      </c>
      <c r="E11" t="s">
        <v>17</v>
      </c>
      <c r="F11" t="s">
        <v>18</v>
      </c>
      <c r="G11" s="2">
        <v>45988</v>
      </c>
      <c r="H11" t="s">
        <v>28</v>
      </c>
      <c r="I11" s="3">
        <v>4128016</v>
      </c>
      <c r="J11">
        <v>717</v>
      </c>
      <c r="K11" t="s">
        <v>34</v>
      </c>
      <c r="L11" t="s">
        <v>30</v>
      </c>
      <c r="M11">
        <v>104</v>
      </c>
      <c r="N11" s="3">
        <v>31692.87</v>
      </c>
      <c r="O11" t="s">
        <v>22</v>
      </c>
    </row>
    <row r="12" spans="1:15" x14ac:dyDescent="0.2">
      <c r="A12" t="s">
        <v>63</v>
      </c>
      <c r="B12" t="s">
        <v>64</v>
      </c>
      <c r="C12">
        <v>34</v>
      </c>
      <c r="D12" t="s">
        <v>37</v>
      </c>
      <c r="E12" t="s">
        <v>26</v>
      </c>
      <c r="F12" t="s">
        <v>43</v>
      </c>
      <c r="G12" s="2">
        <v>46116</v>
      </c>
      <c r="H12" t="s">
        <v>28</v>
      </c>
      <c r="I12" s="3">
        <v>262336</v>
      </c>
      <c r="J12">
        <v>653</v>
      </c>
      <c r="K12" t="s">
        <v>29</v>
      </c>
      <c r="L12" t="s">
        <v>58</v>
      </c>
      <c r="M12">
        <v>57</v>
      </c>
      <c r="N12" s="3">
        <v>19137.93</v>
      </c>
      <c r="O12" t="s">
        <v>22</v>
      </c>
    </row>
    <row r="13" spans="1:15" x14ac:dyDescent="0.2">
      <c r="A13" t="s">
        <v>65</v>
      </c>
      <c r="B13" t="s">
        <v>66</v>
      </c>
      <c r="C13">
        <v>56</v>
      </c>
      <c r="D13" t="s">
        <v>51</v>
      </c>
      <c r="E13" t="s">
        <v>56</v>
      </c>
      <c r="F13" t="s">
        <v>43</v>
      </c>
      <c r="G13" s="2">
        <v>45745</v>
      </c>
      <c r="H13" t="s">
        <v>33</v>
      </c>
      <c r="I13" s="3">
        <v>1719204</v>
      </c>
      <c r="J13">
        <v>620</v>
      </c>
      <c r="K13" t="s">
        <v>67</v>
      </c>
      <c r="L13" t="s">
        <v>38</v>
      </c>
      <c r="M13">
        <v>26</v>
      </c>
      <c r="N13" s="3">
        <v>23568.55</v>
      </c>
      <c r="O13" t="s">
        <v>22</v>
      </c>
    </row>
    <row r="14" spans="1:15" x14ac:dyDescent="0.2">
      <c r="A14" t="s">
        <v>68</v>
      </c>
      <c r="B14" t="s">
        <v>69</v>
      </c>
      <c r="C14">
        <v>32</v>
      </c>
      <c r="D14" t="s">
        <v>70</v>
      </c>
      <c r="E14" t="s">
        <v>56</v>
      </c>
      <c r="F14" t="s">
        <v>27</v>
      </c>
      <c r="G14" s="2">
        <v>46030</v>
      </c>
      <c r="H14" t="s">
        <v>44</v>
      </c>
      <c r="I14" s="3">
        <v>3208963</v>
      </c>
      <c r="J14">
        <v>656</v>
      </c>
      <c r="K14" t="s">
        <v>67</v>
      </c>
      <c r="L14" t="s">
        <v>30</v>
      </c>
      <c r="M14">
        <v>6</v>
      </c>
      <c r="N14" s="3">
        <v>4837.46</v>
      </c>
      <c r="O14" t="s">
        <v>22</v>
      </c>
    </row>
    <row r="15" spans="1:15" x14ac:dyDescent="0.2">
      <c r="A15" t="s">
        <v>71</v>
      </c>
      <c r="B15" t="s">
        <v>72</v>
      </c>
      <c r="C15">
        <v>37</v>
      </c>
      <c r="D15" t="s">
        <v>48</v>
      </c>
      <c r="E15" t="s">
        <v>26</v>
      </c>
      <c r="F15" t="s">
        <v>27</v>
      </c>
      <c r="G15" s="2">
        <v>45757</v>
      </c>
      <c r="H15" t="s">
        <v>33</v>
      </c>
      <c r="I15" s="3">
        <v>3441319</v>
      </c>
      <c r="J15">
        <v>766</v>
      </c>
      <c r="K15" t="s">
        <v>20</v>
      </c>
      <c r="L15" t="s">
        <v>30</v>
      </c>
      <c r="M15">
        <v>16</v>
      </c>
      <c r="N15" s="3">
        <v>8916.5499999999993</v>
      </c>
      <c r="O15" t="s">
        <v>39</v>
      </c>
    </row>
    <row r="16" spans="1:15" x14ac:dyDescent="0.2">
      <c r="A16" t="s">
        <v>73</v>
      </c>
      <c r="B16" t="s">
        <v>74</v>
      </c>
      <c r="C16">
        <v>59</v>
      </c>
      <c r="D16" t="s">
        <v>75</v>
      </c>
      <c r="E16" t="s">
        <v>56</v>
      </c>
      <c r="F16" t="s">
        <v>27</v>
      </c>
      <c r="G16" s="2">
        <v>45788</v>
      </c>
      <c r="H16" t="s">
        <v>33</v>
      </c>
      <c r="I16" s="3">
        <v>2175656</v>
      </c>
      <c r="J16">
        <v>631</v>
      </c>
      <c r="K16" t="s">
        <v>67</v>
      </c>
      <c r="L16" t="s">
        <v>58</v>
      </c>
      <c r="M16">
        <v>60</v>
      </c>
      <c r="N16" s="3">
        <v>4904.72</v>
      </c>
      <c r="O16" t="s">
        <v>22</v>
      </c>
    </row>
    <row r="17" spans="1:15" x14ac:dyDescent="0.2">
      <c r="A17" t="s">
        <v>76</v>
      </c>
      <c r="B17" t="s">
        <v>77</v>
      </c>
      <c r="C17">
        <v>29</v>
      </c>
      <c r="D17" t="s">
        <v>51</v>
      </c>
      <c r="E17" t="s">
        <v>26</v>
      </c>
      <c r="F17" t="s">
        <v>43</v>
      </c>
      <c r="G17" s="2">
        <v>45966</v>
      </c>
      <c r="H17" t="s">
        <v>28</v>
      </c>
      <c r="I17" s="3">
        <v>3229718</v>
      </c>
      <c r="J17">
        <v>666</v>
      </c>
      <c r="K17" t="s">
        <v>78</v>
      </c>
      <c r="L17" t="s">
        <v>30</v>
      </c>
      <c r="M17">
        <v>100</v>
      </c>
      <c r="N17" s="3">
        <v>10020.450000000001</v>
      </c>
      <c r="O17" t="s">
        <v>22</v>
      </c>
    </row>
    <row r="18" spans="1:15" x14ac:dyDescent="0.2">
      <c r="A18" t="s">
        <v>79</v>
      </c>
      <c r="B18" t="s">
        <v>80</v>
      </c>
      <c r="C18">
        <v>55</v>
      </c>
      <c r="D18" t="s">
        <v>37</v>
      </c>
      <c r="E18" t="s">
        <v>56</v>
      </c>
      <c r="F18" t="s">
        <v>43</v>
      </c>
      <c r="G18" s="2">
        <v>46001</v>
      </c>
      <c r="H18" t="s">
        <v>28</v>
      </c>
      <c r="I18" s="3">
        <v>4018553</v>
      </c>
      <c r="J18">
        <v>688</v>
      </c>
      <c r="K18" t="s">
        <v>20</v>
      </c>
      <c r="L18" t="s">
        <v>21</v>
      </c>
      <c r="M18">
        <v>12</v>
      </c>
      <c r="N18" s="3">
        <v>34071.64</v>
      </c>
      <c r="O18" t="s">
        <v>22</v>
      </c>
    </row>
    <row r="19" spans="1:15" x14ac:dyDescent="0.2">
      <c r="A19" t="s">
        <v>81</v>
      </c>
      <c r="B19" t="s">
        <v>82</v>
      </c>
      <c r="C19">
        <v>33</v>
      </c>
      <c r="D19" t="s">
        <v>75</v>
      </c>
      <c r="E19" t="s">
        <v>83</v>
      </c>
      <c r="F19" t="s">
        <v>27</v>
      </c>
      <c r="G19" s="2">
        <v>46149</v>
      </c>
      <c r="H19" t="s">
        <v>28</v>
      </c>
      <c r="I19" s="3">
        <v>539372</v>
      </c>
      <c r="J19">
        <v>804</v>
      </c>
      <c r="K19" t="s">
        <v>67</v>
      </c>
      <c r="L19" t="s">
        <v>30</v>
      </c>
      <c r="M19">
        <v>75</v>
      </c>
      <c r="N19" s="3">
        <v>14205.35</v>
      </c>
      <c r="O19" t="s">
        <v>22</v>
      </c>
    </row>
    <row r="20" spans="1:15" x14ac:dyDescent="0.2">
      <c r="A20" t="s">
        <v>84</v>
      </c>
      <c r="B20" t="s">
        <v>85</v>
      </c>
      <c r="C20">
        <v>35</v>
      </c>
      <c r="D20" t="s">
        <v>16</v>
      </c>
      <c r="E20" t="s">
        <v>26</v>
      </c>
      <c r="F20" t="s">
        <v>27</v>
      </c>
      <c r="G20" s="2">
        <v>46071</v>
      </c>
      <c r="H20" t="s">
        <v>28</v>
      </c>
      <c r="I20" s="3">
        <v>264429</v>
      </c>
      <c r="J20">
        <v>827</v>
      </c>
      <c r="K20" t="s">
        <v>86</v>
      </c>
      <c r="L20" t="s">
        <v>45</v>
      </c>
      <c r="M20">
        <v>3</v>
      </c>
      <c r="N20" s="3">
        <v>49417.02</v>
      </c>
      <c r="O20" t="s">
        <v>22</v>
      </c>
    </row>
    <row r="21" spans="1:15" x14ac:dyDescent="0.2">
      <c r="A21" t="s">
        <v>87</v>
      </c>
      <c r="B21" t="s">
        <v>88</v>
      </c>
      <c r="C21">
        <v>38</v>
      </c>
      <c r="D21" t="s">
        <v>89</v>
      </c>
      <c r="E21" t="s">
        <v>56</v>
      </c>
      <c r="F21" t="s">
        <v>43</v>
      </c>
      <c r="G21" s="2">
        <v>46043</v>
      </c>
      <c r="H21" t="s">
        <v>28</v>
      </c>
      <c r="I21" s="3">
        <v>1382870</v>
      </c>
      <c r="J21">
        <v>648</v>
      </c>
      <c r="K21" t="s">
        <v>29</v>
      </c>
      <c r="L21" t="s">
        <v>58</v>
      </c>
      <c r="M21">
        <v>63</v>
      </c>
      <c r="N21" s="3">
        <v>6614.7</v>
      </c>
      <c r="O21" t="s">
        <v>22</v>
      </c>
    </row>
    <row r="22" spans="1:15" x14ac:dyDescent="0.2">
      <c r="A22" t="s">
        <v>90</v>
      </c>
      <c r="B22" t="s">
        <v>91</v>
      </c>
      <c r="C22">
        <v>53</v>
      </c>
      <c r="D22" t="s">
        <v>75</v>
      </c>
      <c r="E22" t="s">
        <v>17</v>
      </c>
      <c r="F22" t="s">
        <v>27</v>
      </c>
      <c r="G22" s="2">
        <v>45849</v>
      </c>
      <c r="H22" t="s">
        <v>28</v>
      </c>
      <c r="I22" s="3">
        <v>4396118</v>
      </c>
      <c r="J22">
        <v>699</v>
      </c>
      <c r="K22" t="s">
        <v>92</v>
      </c>
      <c r="L22" t="s">
        <v>45</v>
      </c>
      <c r="M22">
        <v>108</v>
      </c>
      <c r="N22" s="3">
        <v>3837.94</v>
      </c>
      <c r="O22" t="s">
        <v>22</v>
      </c>
    </row>
    <row r="23" spans="1:15" x14ac:dyDescent="0.2">
      <c r="A23" t="s">
        <v>93</v>
      </c>
      <c r="B23" t="s">
        <v>94</v>
      </c>
      <c r="C23">
        <v>26</v>
      </c>
      <c r="D23" t="s">
        <v>70</v>
      </c>
      <c r="E23" t="s">
        <v>83</v>
      </c>
      <c r="F23" t="s">
        <v>18</v>
      </c>
      <c r="G23" s="2">
        <v>45934</v>
      </c>
      <c r="H23" t="s">
        <v>28</v>
      </c>
      <c r="I23" s="3">
        <v>1124506</v>
      </c>
      <c r="J23">
        <v>646</v>
      </c>
      <c r="K23" t="s">
        <v>29</v>
      </c>
      <c r="L23" t="s">
        <v>38</v>
      </c>
      <c r="M23">
        <v>64</v>
      </c>
      <c r="N23" s="3">
        <v>15332.57</v>
      </c>
      <c r="O23" t="s">
        <v>22</v>
      </c>
    </row>
    <row r="24" spans="1:15" x14ac:dyDescent="0.2">
      <c r="A24" t="s">
        <v>95</v>
      </c>
      <c r="B24" t="s">
        <v>96</v>
      </c>
      <c r="C24">
        <v>47</v>
      </c>
      <c r="D24" t="s">
        <v>25</v>
      </c>
      <c r="E24" t="s">
        <v>26</v>
      </c>
      <c r="F24" t="s">
        <v>27</v>
      </c>
      <c r="G24" s="2">
        <v>45818</v>
      </c>
      <c r="H24" t="s">
        <v>28</v>
      </c>
      <c r="I24" s="3">
        <v>3726808</v>
      </c>
      <c r="J24">
        <v>640</v>
      </c>
      <c r="K24" t="s">
        <v>67</v>
      </c>
      <c r="L24" t="s">
        <v>45</v>
      </c>
      <c r="M24">
        <v>62</v>
      </c>
      <c r="N24" s="3">
        <v>10145.66</v>
      </c>
      <c r="O24" t="s">
        <v>22</v>
      </c>
    </row>
    <row r="25" spans="1:15" x14ac:dyDescent="0.2">
      <c r="A25" t="s">
        <v>97</v>
      </c>
      <c r="B25" t="s">
        <v>98</v>
      </c>
      <c r="C25">
        <v>43</v>
      </c>
      <c r="D25" t="s">
        <v>48</v>
      </c>
      <c r="E25" t="s">
        <v>56</v>
      </c>
      <c r="F25" t="s">
        <v>43</v>
      </c>
      <c r="G25" s="2">
        <v>46117</v>
      </c>
      <c r="H25" t="s">
        <v>28</v>
      </c>
      <c r="I25" s="3">
        <v>3607707</v>
      </c>
      <c r="J25">
        <v>770</v>
      </c>
      <c r="K25" t="s">
        <v>57</v>
      </c>
      <c r="L25" t="s">
        <v>21</v>
      </c>
      <c r="M25">
        <v>101</v>
      </c>
      <c r="N25" s="3">
        <v>12567.1</v>
      </c>
      <c r="O25" t="s">
        <v>22</v>
      </c>
    </row>
    <row r="26" spans="1:15" x14ac:dyDescent="0.2">
      <c r="A26" t="s">
        <v>99</v>
      </c>
      <c r="B26" t="s">
        <v>62</v>
      </c>
      <c r="C26">
        <v>47</v>
      </c>
      <c r="D26" t="s">
        <v>70</v>
      </c>
      <c r="E26" t="s">
        <v>26</v>
      </c>
      <c r="F26" t="s">
        <v>100</v>
      </c>
      <c r="G26" s="2">
        <v>45971</v>
      </c>
      <c r="H26" t="s">
        <v>28</v>
      </c>
      <c r="I26" s="3">
        <v>1093810</v>
      </c>
      <c r="J26">
        <v>768</v>
      </c>
      <c r="K26" t="s">
        <v>34</v>
      </c>
      <c r="L26" t="s">
        <v>21</v>
      </c>
      <c r="M26">
        <v>6</v>
      </c>
      <c r="N26" s="3">
        <v>10741.62</v>
      </c>
      <c r="O26" t="s">
        <v>22</v>
      </c>
    </row>
    <row r="27" spans="1:15" x14ac:dyDescent="0.2">
      <c r="A27" t="s">
        <v>101</v>
      </c>
      <c r="B27" t="s">
        <v>102</v>
      </c>
      <c r="C27">
        <v>54</v>
      </c>
      <c r="D27" t="s">
        <v>42</v>
      </c>
      <c r="E27" t="s">
        <v>26</v>
      </c>
      <c r="F27" t="s">
        <v>27</v>
      </c>
      <c r="G27" s="2">
        <v>45679</v>
      </c>
      <c r="H27" t="s">
        <v>28</v>
      </c>
      <c r="I27" s="3">
        <v>4481614</v>
      </c>
      <c r="K27" t="s">
        <v>92</v>
      </c>
      <c r="L27" t="s">
        <v>45</v>
      </c>
      <c r="M27">
        <v>19</v>
      </c>
      <c r="N27" s="3">
        <v>5384.85</v>
      </c>
      <c r="O27" t="s">
        <v>22</v>
      </c>
    </row>
    <row r="28" spans="1:15" x14ac:dyDescent="0.2">
      <c r="A28" t="s">
        <v>103</v>
      </c>
      <c r="B28" t="s">
        <v>104</v>
      </c>
      <c r="C28">
        <v>66</v>
      </c>
      <c r="D28" t="s">
        <v>105</v>
      </c>
      <c r="E28" t="s">
        <v>26</v>
      </c>
      <c r="F28" t="s">
        <v>27</v>
      </c>
      <c r="G28" s="2">
        <v>45910</v>
      </c>
      <c r="H28" t="s">
        <v>44</v>
      </c>
      <c r="I28" s="3">
        <v>457500</v>
      </c>
      <c r="J28">
        <v>675</v>
      </c>
      <c r="K28" t="s">
        <v>20</v>
      </c>
      <c r="L28" t="s">
        <v>38</v>
      </c>
      <c r="M28">
        <v>18</v>
      </c>
      <c r="N28" s="3">
        <v>10998.6</v>
      </c>
      <c r="O28" t="s">
        <v>22</v>
      </c>
    </row>
    <row r="29" spans="1:15" x14ac:dyDescent="0.2">
      <c r="A29" t="s">
        <v>106</v>
      </c>
      <c r="B29" t="s">
        <v>107</v>
      </c>
      <c r="C29">
        <v>58</v>
      </c>
      <c r="D29" t="s">
        <v>37</v>
      </c>
      <c r="E29" t="s">
        <v>83</v>
      </c>
      <c r="F29" t="s">
        <v>27</v>
      </c>
      <c r="G29" s="2">
        <v>46218</v>
      </c>
      <c r="H29" t="s">
        <v>44</v>
      </c>
      <c r="I29" s="3">
        <v>1341014</v>
      </c>
      <c r="J29">
        <v>842</v>
      </c>
      <c r="K29" t="s">
        <v>57</v>
      </c>
      <c r="L29" t="s">
        <v>30</v>
      </c>
      <c r="M29">
        <v>80</v>
      </c>
      <c r="N29" s="3">
        <v>24885.46</v>
      </c>
      <c r="O29" t="s">
        <v>22</v>
      </c>
    </row>
    <row r="30" spans="1:15" x14ac:dyDescent="0.2">
      <c r="A30" t="s">
        <v>108</v>
      </c>
      <c r="B30" t="s">
        <v>109</v>
      </c>
      <c r="C30">
        <v>34</v>
      </c>
      <c r="D30" t="s">
        <v>51</v>
      </c>
      <c r="E30" t="s">
        <v>56</v>
      </c>
      <c r="F30" t="s">
        <v>43</v>
      </c>
      <c r="G30" s="2">
        <v>46132</v>
      </c>
      <c r="H30" t="s">
        <v>52</v>
      </c>
      <c r="I30" s="3">
        <v>3112750</v>
      </c>
      <c r="J30">
        <v>676</v>
      </c>
      <c r="K30" t="s">
        <v>29</v>
      </c>
      <c r="L30" t="s">
        <v>21</v>
      </c>
      <c r="M30">
        <v>87</v>
      </c>
      <c r="N30" s="3">
        <v>27720.1</v>
      </c>
      <c r="O30" t="s">
        <v>22</v>
      </c>
    </row>
    <row r="31" spans="1:15" x14ac:dyDescent="0.2">
      <c r="A31" t="s">
        <v>110</v>
      </c>
      <c r="B31" t="s">
        <v>111</v>
      </c>
      <c r="C31">
        <v>56</v>
      </c>
      <c r="D31" t="s">
        <v>55</v>
      </c>
      <c r="E31" t="s">
        <v>56</v>
      </c>
      <c r="F31" t="s">
        <v>43</v>
      </c>
      <c r="G31" s="2">
        <v>45716</v>
      </c>
      <c r="H31" t="s">
        <v>28</v>
      </c>
      <c r="I31" s="3">
        <v>2311439</v>
      </c>
      <c r="J31">
        <v>692</v>
      </c>
      <c r="K31" t="s">
        <v>67</v>
      </c>
      <c r="L31" t="s">
        <v>45</v>
      </c>
      <c r="M31">
        <v>43</v>
      </c>
      <c r="N31" s="3">
        <v>5356.19</v>
      </c>
      <c r="O31" t="s">
        <v>22</v>
      </c>
    </row>
    <row r="32" spans="1:15" x14ac:dyDescent="0.2">
      <c r="A32" t="s">
        <v>112</v>
      </c>
      <c r="B32" t="s">
        <v>113</v>
      </c>
      <c r="C32">
        <v>28</v>
      </c>
      <c r="D32" t="s">
        <v>42</v>
      </c>
      <c r="E32" t="s">
        <v>83</v>
      </c>
      <c r="F32" t="s">
        <v>27</v>
      </c>
      <c r="G32" s="2">
        <v>46168</v>
      </c>
      <c r="H32" t="s">
        <v>52</v>
      </c>
      <c r="I32" s="3">
        <v>2828305</v>
      </c>
      <c r="J32">
        <v>704</v>
      </c>
      <c r="K32" t="s">
        <v>20</v>
      </c>
      <c r="L32" t="s">
        <v>45</v>
      </c>
      <c r="M32">
        <v>101</v>
      </c>
      <c r="N32" s="3">
        <v>11413.55</v>
      </c>
      <c r="O32" t="s">
        <v>22</v>
      </c>
    </row>
    <row r="33" spans="1:15" x14ac:dyDescent="0.2">
      <c r="A33" t="s">
        <v>114</v>
      </c>
      <c r="B33" t="s">
        <v>115</v>
      </c>
      <c r="C33">
        <v>55</v>
      </c>
      <c r="D33" t="s">
        <v>25</v>
      </c>
      <c r="E33" t="s">
        <v>26</v>
      </c>
      <c r="F33" t="s">
        <v>43</v>
      </c>
      <c r="G33" s="2">
        <v>46133</v>
      </c>
      <c r="H33" t="s">
        <v>52</v>
      </c>
      <c r="I33" s="3">
        <v>2110966</v>
      </c>
      <c r="J33">
        <v>711</v>
      </c>
      <c r="K33" t="s">
        <v>20</v>
      </c>
      <c r="L33" t="s">
        <v>45</v>
      </c>
      <c r="M33">
        <v>73</v>
      </c>
      <c r="N33" s="3">
        <v>42233.4</v>
      </c>
      <c r="O33" t="s">
        <v>22</v>
      </c>
    </row>
    <row r="34" spans="1:15" x14ac:dyDescent="0.2">
      <c r="A34" t="s">
        <v>116</v>
      </c>
      <c r="B34" t="s">
        <v>117</v>
      </c>
      <c r="C34">
        <v>39</v>
      </c>
      <c r="D34" t="s">
        <v>75</v>
      </c>
      <c r="E34" t="s">
        <v>26</v>
      </c>
      <c r="F34" t="s">
        <v>100</v>
      </c>
      <c r="G34" s="2">
        <v>45847</v>
      </c>
      <c r="H34" t="s">
        <v>52</v>
      </c>
      <c r="I34" s="3">
        <v>1505950</v>
      </c>
      <c r="J34">
        <v>700</v>
      </c>
      <c r="K34" t="s">
        <v>86</v>
      </c>
      <c r="L34" t="s">
        <v>30</v>
      </c>
      <c r="M34">
        <v>3</v>
      </c>
      <c r="N34" s="3">
        <v>5479.2</v>
      </c>
      <c r="O34" t="s">
        <v>22</v>
      </c>
    </row>
    <row r="35" spans="1:15" x14ac:dyDescent="0.2">
      <c r="A35" t="s">
        <v>118</v>
      </c>
      <c r="B35" t="s">
        <v>119</v>
      </c>
      <c r="C35">
        <v>50</v>
      </c>
      <c r="D35" t="s">
        <v>89</v>
      </c>
      <c r="E35" t="s">
        <v>26</v>
      </c>
      <c r="F35" t="s">
        <v>27</v>
      </c>
      <c r="G35" s="2">
        <v>46220</v>
      </c>
      <c r="H35" t="s">
        <v>28</v>
      </c>
      <c r="I35" s="3">
        <v>4077233</v>
      </c>
      <c r="J35">
        <v>776</v>
      </c>
      <c r="K35" t="s">
        <v>86</v>
      </c>
      <c r="L35" t="s">
        <v>58</v>
      </c>
      <c r="M35">
        <v>72</v>
      </c>
      <c r="N35" s="3">
        <v>4528.21</v>
      </c>
      <c r="O35" t="s">
        <v>22</v>
      </c>
    </row>
    <row r="36" spans="1:15" x14ac:dyDescent="0.2">
      <c r="A36" t="s">
        <v>120</v>
      </c>
      <c r="B36" t="s">
        <v>121</v>
      </c>
      <c r="C36">
        <v>34</v>
      </c>
      <c r="D36" t="s">
        <v>70</v>
      </c>
      <c r="E36" t="s">
        <v>26</v>
      </c>
      <c r="F36" t="s">
        <v>27</v>
      </c>
      <c r="G36" s="2">
        <v>46224</v>
      </c>
      <c r="H36" t="s">
        <v>33</v>
      </c>
      <c r="I36" s="3">
        <v>1800531</v>
      </c>
      <c r="J36">
        <v>701</v>
      </c>
      <c r="K36" t="s">
        <v>67</v>
      </c>
      <c r="L36" t="s">
        <v>38</v>
      </c>
      <c r="M36">
        <v>38</v>
      </c>
      <c r="N36" s="3">
        <v>20622.189999999999</v>
      </c>
      <c r="O36" t="s">
        <v>22</v>
      </c>
    </row>
    <row r="37" spans="1:15" x14ac:dyDescent="0.2">
      <c r="A37" t="s">
        <v>122</v>
      </c>
      <c r="B37" t="s">
        <v>123</v>
      </c>
      <c r="C37">
        <v>40</v>
      </c>
      <c r="D37" t="s">
        <v>16</v>
      </c>
      <c r="E37" t="s">
        <v>26</v>
      </c>
      <c r="F37" t="s">
        <v>18</v>
      </c>
      <c r="G37" s="2">
        <v>45901</v>
      </c>
      <c r="H37" t="s">
        <v>44</v>
      </c>
      <c r="I37" s="3">
        <v>3946458</v>
      </c>
      <c r="J37">
        <v>839</v>
      </c>
      <c r="K37" t="s">
        <v>67</v>
      </c>
      <c r="L37" t="s">
        <v>58</v>
      </c>
      <c r="M37">
        <v>68</v>
      </c>
      <c r="N37" s="3">
        <v>17152.64</v>
      </c>
      <c r="O37" t="s">
        <v>22</v>
      </c>
    </row>
    <row r="38" spans="1:15" x14ac:dyDescent="0.2">
      <c r="A38" t="s">
        <v>124</v>
      </c>
      <c r="B38" t="s">
        <v>125</v>
      </c>
      <c r="C38">
        <v>69</v>
      </c>
      <c r="D38" t="s">
        <v>105</v>
      </c>
      <c r="E38" t="s">
        <v>26</v>
      </c>
      <c r="F38" t="s">
        <v>43</v>
      </c>
      <c r="G38" s="2">
        <v>46162</v>
      </c>
      <c r="I38" s="3">
        <v>3683468</v>
      </c>
      <c r="J38">
        <v>618</v>
      </c>
      <c r="K38" t="s">
        <v>78</v>
      </c>
      <c r="L38" t="s">
        <v>38</v>
      </c>
      <c r="M38">
        <v>76</v>
      </c>
      <c r="N38" s="3">
        <v>3718.87</v>
      </c>
      <c r="O38" t="s">
        <v>22</v>
      </c>
    </row>
    <row r="39" spans="1:15" x14ac:dyDescent="0.2">
      <c r="A39" t="s">
        <v>126</v>
      </c>
      <c r="B39" t="s">
        <v>127</v>
      </c>
      <c r="C39">
        <v>45</v>
      </c>
      <c r="D39" t="s">
        <v>128</v>
      </c>
      <c r="E39" t="s">
        <v>26</v>
      </c>
      <c r="F39" t="s">
        <v>100</v>
      </c>
      <c r="G39" s="2">
        <v>45788</v>
      </c>
      <c r="H39" t="s">
        <v>33</v>
      </c>
      <c r="I39" s="3">
        <v>1865270</v>
      </c>
      <c r="J39">
        <v>633</v>
      </c>
      <c r="K39" t="s">
        <v>86</v>
      </c>
      <c r="L39" t="s">
        <v>38</v>
      </c>
      <c r="M39">
        <v>44</v>
      </c>
      <c r="N39" s="3">
        <v>2060.2199999999998</v>
      </c>
      <c r="O39" t="s">
        <v>22</v>
      </c>
    </row>
    <row r="40" spans="1:15" x14ac:dyDescent="0.2">
      <c r="A40" t="s">
        <v>129</v>
      </c>
      <c r="B40" t="s">
        <v>130</v>
      </c>
      <c r="C40">
        <v>60</v>
      </c>
      <c r="D40" t="s">
        <v>42</v>
      </c>
      <c r="E40" t="s">
        <v>26</v>
      </c>
      <c r="F40" t="s">
        <v>43</v>
      </c>
      <c r="G40" s="2">
        <v>46142</v>
      </c>
      <c r="H40" t="s">
        <v>28</v>
      </c>
      <c r="I40" s="3">
        <v>1339100</v>
      </c>
      <c r="J40">
        <v>740</v>
      </c>
      <c r="K40" t="s">
        <v>34</v>
      </c>
      <c r="L40" t="s">
        <v>45</v>
      </c>
      <c r="M40">
        <v>95</v>
      </c>
      <c r="N40" s="3">
        <v>11182.82</v>
      </c>
      <c r="O40" t="s">
        <v>22</v>
      </c>
    </row>
    <row r="41" spans="1:15" x14ac:dyDescent="0.2">
      <c r="A41" t="s">
        <v>131</v>
      </c>
      <c r="B41" t="s">
        <v>132</v>
      </c>
      <c r="C41">
        <v>44</v>
      </c>
      <c r="D41" t="s">
        <v>89</v>
      </c>
      <c r="E41" t="s">
        <v>26</v>
      </c>
      <c r="F41" t="s">
        <v>18</v>
      </c>
      <c r="G41" s="2">
        <v>45678</v>
      </c>
      <c r="H41" t="s">
        <v>33</v>
      </c>
      <c r="I41" s="3">
        <v>2457312</v>
      </c>
      <c r="J41">
        <v>779</v>
      </c>
      <c r="K41" t="s">
        <v>92</v>
      </c>
      <c r="L41" t="s">
        <v>21</v>
      </c>
      <c r="M41">
        <v>89</v>
      </c>
      <c r="N41" s="3">
        <v>5770.26</v>
      </c>
      <c r="O41" t="s">
        <v>22</v>
      </c>
    </row>
    <row r="42" spans="1:15" x14ac:dyDescent="0.2">
      <c r="A42" t="s">
        <v>133</v>
      </c>
      <c r="B42" t="s">
        <v>134</v>
      </c>
      <c r="C42">
        <v>34</v>
      </c>
      <c r="D42" t="s">
        <v>128</v>
      </c>
      <c r="E42" t="s">
        <v>26</v>
      </c>
      <c r="F42" t="s">
        <v>27</v>
      </c>
      <c r="G42" s="2">
        <v>45824</v>
      </c>
      <c r="H42" t="s">
        <v>28</v>
      </c>
      <c r="I42" s="3">
        <v>818933</v>
      </c>
      <c r="J42">
        <v>595</v>
      </c>
      <c r="K42" t="s">
        <v>20</v>
      </c>
      <c r="L42" t="s">
        <v>45</v>
      </c>
      <c r="M42">
        <v>117</v>
      </c>
      <c r="N42" s="3">
        <v>1528.01</v>
      </c>
      <c r="O42" t="s">
        <v>22</v>
      </c>
    </row>
    <row r="43" spans="1:15" x14ac:dyDescent="0.2">
      <c r="A43" t="s">
        <v>135</v>
      </c>
      <c r="B43" t="s">
        <v>136</v>
      </c>
      <c r="C43">
        <v>46</v>
      </c>
      <c r="D43" t="s">
        <v>105</v>
      </c>
      <c r="E43" t="s">
        <v>83</v>
      </c>
      <c r="F43" t="s">
        <v>18</v>
      </c>
      <c r="G43" s="2">
        <v>45931</v>
      </c>
      <c r="H43" t="s">
        <v>33</v>
      </c>
      <c r="I43" s="3">
        <v>634903</v>
      </c>
      <c r="J43">
        <v>752</v>
      </c>
      <c r="K43" t="s">
        <v>86</v>
      </c>
      <c r="L43" t="s">
        <v>30</v>
      </c>
      <c r="M43">
        <v>80</v>
      </c>
      <c r="N43" s="3">
        <v>4352.2</v>
      </c>
      <c r="O43" t="s">
        <v>22</v>
      </c>
    </row>
    <row r="44" spans="1:15" x14ac:dyDescent="0.2">
      <c r="A44" t="s">
        <v>137</v>
      </c>
      <c r="B44" t="s">
        <v>138</v>
      </c>
      <c r="C44">
        <v>58</v>
      </c>
      <c r="D44" t="s">
        <v>55</v>
      </c>
      <c r="E44" t="s">
        <v>56</v>
      </c>
      <c r="F44" t="s">
        <v>100</v>
      </c>
      <c r="G44" s="2">
        <v>46045</v>
      </c>
      <c r="H44" t="s">
        <v>28</v>
      </c>
      <c r="I44" s="3">
        <v>4319604</v>
      </c>
      <c r="J44">
        <v>827</v>
      </c>
      <c r="K44" t="s">
        <v>67</v>
      </c>
      <c r="L44" t="s">
        <v>38</v>
      </c>
      <c r="M44">
        <v>63</v>
      </c>
      <c r="N44" s="3">
        <v>16860.689999999999</v>
      </c>
      <c r="O44" t="s">
        <v>22</v>
      </c>
    </row>
    <row r="45" spans="1:15" x14ac:dyDescent="0.2">
      <c r="A45" t="s">
        <v>139</v>
      </c>
      <c r="B45" t="s">
        <v>140</v>
      </c>
      <c r="C45">
        <v>43</v>
      </c>
      <c r="D45" t="s">
        <v>55</v>
      </c>
      <c r="E45" t="s">
        <v>83</v>
      </c>
      <c r="F45" t="s">
        <v>43</v>
      </c>
      <c r="G45" s="2">
        <v>46258</v>
      </c>
      <c r="H45" t="s">
        <v>28</v>
      </c>
      <c r="I45" s="3">
        <v>1031608</v>
      </c>
      <c r="J45">
        <v>797</v>
      </c>
      <c r="K45" t="s">
        <v>78</v>
      </c>
      <c r="L45" t="s">
        <v>21</v>
      </c>
      <c r="M45">
        <v>42</v>
      </c>
      <c r="N45" s="3">
        <v>7638.98</v>
      </c>
      <c r="O45" t="s">
        <v>22</v>
      </c>
    </row>
    <row r="46" spans="1:15" x14ac:dyDescent="0.2">
      <c r="A46" t="s">
        <v>141</v>
      </c>
      <c r="B46" t="s">
        <v>142</v>
      </c>
      <c r="C46">
        <v>42</v>
      </c>
      <c r="D46" t="s">
        <v>48</v>
      </c>
      <c r="E46" t="s">
        <v>26</v>
      </c>
      <c r="F46" t="s">
        <v>27</v>
      </c>
      <c r="G46" s="2">
        <v>45973</v>
      </c>
      <c r="H46" t="s">
        <v>28</v>
      </c>
      <c r="I46" s="3">
        <v>1416026</v>
      </c>
      <c r="J46">
        <v>666</v>
      </c>
      <c r="K46" t="s">
        <v>67</v>
      </c>
      <c r="L46" t="s">
        <v>38</v>
      </c>
      <c r="M46">
        <v>64</v>
      </c>
      <c r="N46" s="3">
        <v>46370.06</v>
      </c>
      <c r="O46" t="s">
        <v>22</v>
      </c>
    </row>
    <row r="47" spans="1:15" x14ac:dyDescent="0.2">
      <c r="A47" t="s">
        <v>143</v>
      </c>
      <c r="B47" t="s">
        <v>144</v>
      </c>
      <c r="C47">
        <v>68</v>
      </c>
      <c r="D47" t="s">
        <v>105</v>
      </c>
      <c r="E47" t="s">
        <v>26</v>
      </c>
      <c r="F47" t="s">
        <v>27</v>
      </c>
      <c r="G47" s="2">
        <v>45671</v>
      </c>
      <c r="H47" t="s">
        <v>33</v>
      </c>
      <c r="I47" s="3">
        <v>2018407</v>
      </c>
      <c r="J47">
        <v>661</v>
      </c>
      <c r="K47" t="s">
        <v>67</v>
      </c>
      <c r="L47" t="s">
        <v>38</v>
      </c>
      <c r="M47">
        <v>54</v>
      </c>
      <c r="N47" s="3">
        <v>1000.65</v>
      </c>
      <c r="O47" t="s">
        <v>22</v>
      </c>
    </row>
    <row r="48" spans="1:15" x14ac:dyDescent="0.2">
      <c r="A48" t="s">
        <v>145</v>
      </c>
      <c r="B48" t="s">
        <v>146</v>
      </c>
      <c r="C48">
        <v>39</v>
      </c>
      <c r="D48" t="s">
        <v>105</v>
      </c>
      <c r="E48" t="s">
        <v>56</v>
      </c>
      <c r="F48" t="s">
        <v>27</v>
      </c>
      <c r="G48" s="2">
        <v>45899</v>
      </c>
      <c r="H48" t="s">
        <v>28</v>
      </c>
      <c r="I48" s="3">
        <v>1790710</v>
      </c>
      <c r="J48">
        <v>641</v>
      </c>
      <c r="K48" t="s">
        <v>67</v>
      </c>
      <c r="L48" t="s">
        <v>45</v>
      </c>
      <c r="M48">
        <v>78</v>
      </c>
      <c r="N48" s="3">
        <v>36493.589999999997</v>
      </c>
      <c r="O48" t="s">
        <v>22</v>
      </c>
    </row>
    <row r="49" spans="1:15" x14ac:dyDescent="0.2">
      <c r="A49" t="s">
        <v>147</v>
      </c>
      <c r="B49" t="s">
        <v>148</v>
      </c>
      <c r="C49">
        <v>66</v>
      </c>
      <c r="D49" t="s">
        <v>128</v>
      </c>
      <c r="E49" t="s">
        <v>26</v>
      </c>
      <c r="F49" t="s">
        <v>27</v>
      </c>
      <c r="G49" s="2">
        <v>46003</v>
      </c>
      <c r="H49" t="s">
        <v>33</v>
      </c>
      <c r="I49" s="3">
        <v>3596386</v>
      </c>
      <c r="J49">
        <v>621</v>
      </c>
      <c r="K49" t="s">
        <v>29</v>
      </c>
      <c r="L49" t="s">
        <v>21</v>
      </c>
      <c r="M49">
        <v>77</v>
      </c>
      <c r="N49" s="3">
        <v>6241.04</v>
      </c>
      <c r="O49" t="s">
        <v>22</v>
      </c>
    </row>
    <row r="50" spans="1:15" x14ac:dyDescent="0.2">
      <c r="A50" t="s">
        <v>149</v>
      </c>
      <c r="B50" t="s">
        <v>150</v>
      </c>
      <c r="C50">
        <v>23</v>
      </c>
      <c r="D50" t="s">
        <v>89</v>
      </c>
      <c r="E50" t="s">
        <v>26</v>
      </c>
      <c r="F50" t="s">
        <v>27</v>
      </c>
      <c r="G50" s="2">
        <v>46222</v>
      </c>
      <c r="H50" t="s">
        <v>52</v>
      </c>
      <c r="I50" s="3">
        <v>3673082</v>
      </c>
      <c r="J50">
        <v>591</v>
      </c>
      <c r="K50" t="s">
        <v>92</v>
      </c>
      <c r="L50" t="s">
        <v>21</v>
      </c>
      <c r="M50">
        <v>105</v>
      </c>
      <c r="N50" s="3">
        <v>5362.35</v>
      </c>
      <c r="O50" t="s">
        <v>22</v>
      </c>
    </row>
    <row r="51" spans="1:15" x14ac:dyDescent="0.2">
      <c r="A51" t="s">
        <v>151</v>
      </c>
      <c r="B51" t="s">
        <v>152</v>
      </c>
      <c r="C51">
        <v>62</v>
      </c>
      <c r="D51" t="s">
        <v>70</v>
      </c>
      <c r="E51" t="s">
        <v>26</v>
      </c>
      <c r="F51" t="s">
        <v>43</v>
      </c>
      <c r="G51" s="2">
        <v>45997</v>
      </c>
      <c r="H51" t="s">
        <v>28</v>
      </c>
      <c r="I51" s="3">
        <v>4362742</v>
      </c>
      <c r="J51">
        <v>813</v>
      </c>
      <c r="K51" t="s">
        <v>86</v>
      </c>
      <c r="L51" t="s">
        <v>38</v>
      </c>
      <c r="M51">
        <v>71</v>
      </c>
      <c r="N51" s="3">
        <v>1756.8</v>
      </c>
      <c r="O51" t="s">
        <v>22</v>
      </c>
    </row>
    <row r="52" spans="1:15" x14ac:dyDescent="0.2">
      <c r="A52" t="s">
        <v>153</v>
      </c>
      <c r="B52" t="s">
        <v>154</v>
      </c>
      <c r="C52">
        <v>39</v>
      </c>
      <c r="D52" t="s">
        <v>51</v>
      </c>
      <c r="E52" t="s">
        <v>26</v>
      </c>
      <c r="F52" t="s">
        <v>43</v>
      </c>
      <c r="G52" s="2">
        <v>45749</v>
      </c>
      <c r="H52" t="s">
        <v>28</v>
      </c>
      <c r="I52" s="3">
        <v>1817043</v>
      </c>
      <c r="J52">
        <v>710</v>
      </c>
      <c r="K52" t="s">
        <v>20</v>
      </c>
      <c r="L52" t="s">
        <v>21</v>
      </c>
      <c r="M52">
        <v>76</v>
      </c>
      <c r="N52" s="3">
        <v>14593.56</v>
      </c>
      <c r="O52" t="s">
        <v>22</v>
      </c>
    </row>
    <row r="53" spans="1:15" x14ac:dyDescent="0.2">
      <c r="A53" t="s">
        <v>155</v>
      </c>
      <c r="B53" t="s">
        <v>156</v>
      </c>
      <c r="C53">
        <v>29</v>
      </c>
      <c r="D53" t="s">
        <v>128</v>
      </c>
      <c r="E53" t="s">
        <v>26</v>
      </c>
      <c r="F53" t="s">
        <v>27</v>
      </c>
      <c r="G53" s="2">
        <v>46024</v>
      </c>
      <c r="H53" t="s">
        <v>28</v>
      </c>
      <c r="I53" s="3">
        <v>1449728</v>
      </c>
      <c r="J53">
        <v>694</v>
      </c>
      <c r="K53" t="s">
        <v>29</v>
      </c>
      <c r="L53" t="s">
        <v>21</v>
      </c>
      <c r="M53">
        <v>37</v>
      </c>
      <c r="N53" s="3">
        <v>1315.41</v>
      </c>
      <c r="O53" t="s">
        <v>22</v>
      </c>
    </row>
    <row r="54" spans="1:15" x14ac:dyDescent="0.2">
      <c r="A54" t="s">
        <v>157</v>
      </c>
      <c r="B54" t="s">
        <v>158</v>
      </c>
      <c r="C54">
        <v>48</v>
      </c>
      <c r="D54" t="s">
        <v>16</v>
      </c>
      <c r="E54" t="s">
        <v>26</v>
      </c>
      <c r="F54" t="s">
        <v>43</v>
      </c>
      <c r="G54" s="2">
        <v>46112</v>
      </c>
      <c r="H54" t="s">
        <v>44</v>
      </c>
      <c r="I54" s="3">
        <v>1793992</v>
      </c>
      <c r="J54">
        <v>797</v>
      </c>
      <c r="K54" t="s">
        <v>67</v>
      </c>
      <c r="L54" t="s">
        <v>45</v>
      </c>
      <c r="M54">
        <v>114</v>
      </c>
      <c r="N54" s="3">
        <v>21137.39</v>
      </c>
      <c r="O54" t="s">
        <v>22</v>
      </c>
    </row>
    <row r="55" spans="1:15" x14ac:dyDescent="0.2">
      <c r="A55" t="s">
        <v>159</v>
      </c>
      <c r="B55" t="s">
        <v>127</v>
      </c>
      <c r="C55">
        <v>40</v>
      </c>
      <c r="D55" t="s">
        <v>55</v>
      </c>
      <c r="E55" t="s">
        <v>17</v>
      </c>
      <c r="F55" t="s">
        <v>27</v>
      </c>
      <c r="G55" s="2">
        <v>46085</v>
      </c>
      <c r="H55" t="s">
        <v>33</v>
      </c>
      <c r="I55" s="3">
        <v>2531636</v>
      </c>
      <c r="J55">
        <v>716</v>
      </c>
      <c r="K55" t="s">
        <v>34</v>
      </c>
      <c r="L55" t="s">
        <v>58</v>
      </c>
      <c r="M55">
        <v>4</v>
      </c>
      <c r="N55" s="3">
        <v>1827.98</v>
      </c>
      <c r="O55" t="s">
        <v>22</v>
      </c>
    </row>
    <row r="56" spans="1:15" x14ac:dyDescent="0.2">
      <c r="A56" t="s">
        <v>160</v>
      </c>
      <c r="B56" t="s">
        <v>161</v>
      </c>
      <c r="C56">
        <v>65</v>
      </c>
      <c r="D56" t="s">
        <v>55</v>
      </c>
      <c r="E56" t="s">
        <v>26</v>
      </c>
      <c r="F56" t="s">
        <v>27</v>
      </c>
      <c r="G56" s="2">
        <v>46166</v>
      </c>
      <c r="H56" t="s">
        <v>28</v>
      </c>
      <c r="I56" s="3">
        <v>2209484</v>
      </c>
      <c r="J56">
        <v>685</v>
      </c>
      <c r="K56" t="s">
        <v>20</v>
      </c>
      <c r="L56" t="s">
        <v>30</v>
      </c>
      <c r="M56">
        <v>2</v>
      </c>
      <c r="N56" s="3">
        <v>2157.08</v>
      </c>
      <c r="O56" t="s">
        <v>22</v>
      </c>
    </row>
    <row r="57" spans="1:15" x14ac:dyDescent="0.2">
      <c r="A57" t="s">
        <v>162</v>
      </c>
      <c r="B57" t="s">
        <v>80</v>
      </c>
      <c r="C57">
        <v>27</v>
      </c>
      <c r="D57" t="s">
        <v>48</v>
      </c>
      <c r="E57" t="s">
        <v>26</v>
      </c>
      <c r="F57" t="s">
        <v>27</v>
      </c>
      <c r="G57" s="2">
        <v>45692</v>
      </c>
      <c r="H57" t="s">
        <v>28</v>
      </c>
      <c r="I57" s="3">
        <v>3193430</v>
      </c>
      <c r="J57">
        <v>758</v>
      </c>
      <c r="K57" t="s">
        <v>29</v>
      </c>
      <c r="L57" t="s">
        <v>58</v>
      </c>
      <c r="M57">
        <v>99</v>
      </c>
      <c r="N57" s="3">
        <v>2563.75</v>
      </c>
      <c r="O57" t="s">
        <v>22</v>
      </c>
    </row>
    <row r="58" spans="1:15" x14ac:dyDescent="0.2">
      <c r="A58" t="s">
        <v>163</v>
      </c>
      <c r="B58" t="s">
        <v>164</v>
      </c>
      <c r="C58">
        <v>34</v>
      </c>
      <c r="D58" t="s">
        <v>70</v>
      </c>
      <c r="E58" t="s">
        <v>56</v>
      </c>
      <c r="F58" t="s">
        <v>43</v>
      </c>
      <c r="G58" s="2">
        <v>45863</v>
      </c>
      <c r="H58" t="s">
        <v>33</v>
      </c>
      <c r="I58" s="3">
        <v>3461208</v>
      </c>
      <c r="J58">
        <v>595</v>
      </c>
      <c r="K58" t="s">
        <v>34</v>
      </c>
      <c r="L58" t="s">
        <v>21</v>
      </c>
      <c r="M58">
        <v>44</v>
      </c>
      <c r="N58" s="3">
        <v>4222.8</v>
      </c>
      <c r="O58" t="s">
        <v>22</v>
      </c>
    </row>
    <row r="59" spans="1:15" x14ac:dyDescent="0.2">
      <c r="A59" t="s">
        <v>165</v>
      </c>
      <c r="B59" t="s">
        <v>64</v>
      </c>
      <c r="C59">
        <v>29</v>
      </c>
      <c r="D59" t="s">
        <v>16</v>
      </c>
      <c r="E59" t="s">
        <v>26</v>
      </c>
      <c r="F59" t="s">
        <v>27</v>
      </c>
      <c r="G59" s="2">
        <v>45738</v>
      </c>
      <c r="H59" t="s">
        <v>44</v>
      </c>
      <c r="I59" s="3">
        <v>1017128</v>
      </c>
      <c r="J59">
        <v>821</v>
      </c>
      <c r="K59" t="s">
        <v>34</v>
      </c>
      <c r="L59" t="s">
        <v>38</v>
      </c>
      <c r="M59">
        <v>67</v>
      </c>
      <c r="N59" s="3">
        <v>24081.03</v>
      </c>
      <c r="O59" t="s">
        <v>22</v>
      </c>
    </row>
    <row r="60" spans="1:15" x14ac:dyDescent="0.2">
      <c r="A60" t="s">
        <v>166</v>
      </c>
      <c r="B60" t="s">
        <v>167</v>
      </c>
      <c r="C60">
        <v>39</v>
      </c>
      <c r="D60" t="s">
        <v>55</v>
      </c>
      <c r="E60" t="s">
        <v>26</v>
      </c>
      <c r="F60" t="s">
        <v>27</v>
      </c>
      <c r="G60" s="2">
        <v>46219</v>
      </c>
      <c r="H60" t="s">
        <v>44</v>
      </c>
      <c r="I60" s="3">
        <v>2581774</v>
      </c>
      <c r="J60">
        <v>805</v>
      </c>
      <c r="K60" t="s">
        <v>92</v>
      </c>
      <c r="L60" t="s">
        <v>30</v>
      </c>
      <c r="M60">
        <v>68</v>
      </c>
      <c r="N60" s="3">
        <v>43440.800000000003</v>
      </c>
      <c r="O60" t="s">
        <v>22</v>
      </c>
    </row>
    <row r="61" spans="1:15" x14ac:dyDescent="0.2">
      <c r="A61" t="s">
        <v>168</v>
      </c>
      <c r="B61" t="s">
        <v>169</v>
      </c>
      <c r="C61">
        <v>67</v>
      </c>
      <c r="D61" t="s">
        <v>128</v>
      </c>
      <c r="E61" t="s">
        <v>56</v>
      </c>
      <c r="F61" t="s">
        <v>27</v>
      </c>
      <c r="G61" s="2">
        <v>46045</v>
      </c>
      <c r="H61" t="s">
        <v>33</v>
      </c>
      <c r="I61" s="3">
        <v>684368</v>
      </c>
      <c r="J61">
        <v>821</v>
      </c>
      <c r="K61" t="s">
        <v>20</v>
      </c>
      <c r="L61" t="s">
        <v>30</v>
      </c>
      <c r="M61">
        <v>102</v>
      </c>
      <c r="N61" s="3">
        <v>4706.8599999999997</v>
      </c>
      <c r="O61" t="s">
        <v>22</v>
      </c>
    </row>
    <row r="62" spans="1:15" x14ac:dyDescent="0.2">
      <c r="A62" t="s">
        <v>170</v>
      </c>
      <c r="B62" t="s">
        <v>171</v>
      </c>
      <c r="C62">
        <v>34</v>
      </c>
      <c r="D62" t="s">
        <v>16</v>
      </c>
      <c r="E62" t="s">
        <v>26</v>
      </c>
      <c r="F62" t="s">
        <v>18</v>
      </c>
      <c r="G62" s="2">
        <v>45659</v>
      </c>
      <c r="H62" t="s">
        <v>28</v>
      </c>
      <c r="I62" s="3">
        <v>3816194</v>
      </c>
      <c r="J62">
        <v>720</v>
      </c>
      <c r="K62" t="s">
        <v>86</v>
      </c>
      <c r="L62" t="s">
        <v>38</v>
      </c>
      <c r="M62">
        <v>76</v>
      </c>
      <c r="N62" s="3">
        <v>8527.99</v>
      </c>
      <c r="O62" t="s">
        <v>22</v>
      </c>
    </row>
    <row r="63" spans="1:15" x14ac:dyDescent="0.2">
      <c r="A63" t="s">
        <v>172</v>
      </c>
      <c r="B63" t="s">
        <v>173</v>
      </c>
      <c r="C63">
        <v>58</v>
      </c>
      <c r="D63" t="s">
        <v>128</v>
      </c>
      <c r="E63" t="s">
        <v>26</v>
      </c>
      <c r="F63" t="s">
        <v>27</v>
      </c>
      <c r="G63" s="2">
        <v>46047</v>
      </c>
      <c r="H63" t="s">
        <v>28</v>
      </c>
      <c r="I63" s="3">
        <v>2170773</v>
      </c>
      <c r="J63">
        <v>778</v>
      </c>
      <c r="K63" t="s">
        <v>86</v>
      </c>
      <c r="L63" t="s">
        <v>30</v>
      </c>
      <c r="M63">
        <v>83</v>
      </c>
      <c r="N63" s="3">
        <v>14979.13</v>
      </c>
      <c r="O63" t="s">
        <v>39</v>
      </c>
    </row>
    <row r="64" spans="1:15" x14ac:dyDescent="0.2">
      <c r="A64" t="s">
        <v>174</v>
      </c>
      <c r="B64" t="s">
        <v>175</v>
      </c>
      <c r="C64">
        <v>56</v>
      </c>
      <c r="D64" t="s">
        <v>51</v>
      </c>
      <c r="E64" t="s">
        <v>26</v>
      </c>
      <c r="F64" t="s">
        <v>43</v>
      </c>
      <c r="G64" s="2">
        <v>46223</v>
      </c>
      <c r="H64" t="s">
        <v>28</v>
      </c>
      <c r="I64" s="3">
        <v>3084523</v>
      </c>
      <c r="J64">
        <v>691</v>
      </c>
      <c r="K64" t="s">
        <v>78</v>
      </c>
      <c r="L64" t="s">
        <v>38</v>
      </c>
      <c r="M64">
        <v>74</v>
      </c>
      <c r="N64" s="3">
        <v>6337.39</v>
      </c>
      <c r="O64" t="s">
        <v>22</v>
      </c>
    </row>
    <row r="65" spans="1:15" x14ac:dyDescent="0.2">
      <c r="A65" t="s">
        <v>176</v>
      </c>
      <c r="B65" t="s">
        <v>177</v>
      </c>
      <c r="C65">
        <v>60</v>
      </c>
      <c r="D65" t="s">
        <v>51</v>
      </c>
      <c r="E65" t="s">
        <v>26</v>
      </c>
      <c r="F65" t="s">
        <v>18</v>
      </c>
      <c r="G65" s="2">
        <v>45763</v>
      </c>
      <c r="H65" t="s">
        <v>28</v>
      </c>
      <c r="I65" s="3">
        <v>1417498</v>
      </c>
      <c r="J65">
        <v>706</v>
      </c>
      <c r="K65" t="s">
        <v>29</v>
      </c>
      <c r="L65" t="s">
        <v>30</v>
      </c>
      <c r="M65">
        <v>62</v>
      </c>
      <c r="N65" s="3">
        <v>14375.71</v>
      </c>
      <c r="O65" t="s">
        <v>22</v>
      </c>
    </row>
    <row r="66" spans="1:15" x14ac:dyDescent="0.2">
      <c r="A66" t="s">
        <v>178</v>
      </c>
      <c r="B66" t="s">
        <v>179</v>
      </c>
      <c r="C66">
        <v>37</v>
      </c>
      <c r="D66" t="s">
        <v>55</v>
      </c>
      <c r="E66" t="s">
        <v>17</v>
      </c>
      <c r="F66" t="s">
        <v>18</v>
      </c>
      <c r="G66" s="2">
        <v>46134</v>
      </c>
      <c r="H66" t="s">
        <v>28</v>
      </c>
      <c r="I66" s="3">
        <v>766576</v>
      </c>
      <c r="J66">
        <v>600</v>
      </c>
      <c r="K66" t="s">
        <v>78</v>
      </c>
      <c r="L66" t="s">
        <v>58</v>
      </c>
      <c r="M66">
        <v>1</v>
      </c>
      <c r="N66" s="3">
        <v>8917.02</v>
      </c>
      <c r="O66" t="s">
        <v>22</v>
      </c>
    </row>
    <row r="67" spans="1:15" x14ac:dyDescent="0.2">
      <c r="A67" t="s">
        <v>180</v>
      </c>
      <c r="B67" t="s">
        <v>181</v>
      </c>
      <c r="C67">
        <v>50</v>
      </c>
      <c r="D67" t="s">
        <v>55</v>
      </c>
      <c r="E67" t="s">
        <v>56</v>
      </c>
      <c r="F67" t="s">
        <v>100</v>
      </c>
      <c r="G67" s="2">
        <v>46059</v>
      </c>
      <c r="H67" t="s">
        <v>28</v>
      </c>
      <c r="I67" s="3">
        <v>4041296</v>
      </c>
      <c r="J67">
        <v>726</v>
      </c>
      <c r="K67" t="s">
        <v>57</v>
      </c>
      <c r="L67" t="s">
        <v>30</v>
      </c>
      <c r="M67">
        <v>17</v>
      </c>
      <c r="N67" s="3">
        <v>6862.77</v>
      </c>
      <c r="O67" t="s">
        <v>22</v>
      </c>
    </row>
    <row r="68" spans="1:15" x14ac:dyDescent="0.2">
      <c r="A68" t="s">
        <v>182</v>
      </c>
      <c r="B68" t="s">
        <v>183</v>
      </c>
      <c r="C68">
        <v>29</v>
      </c>
      <c r="D68" t="s">
        <v>89</v>
      </c>
      <c r="E68" t="s">
        <v>26</v>
      </c>
      <c r="F68" t="s">
        <v>27</v>
      </c>
      <c r="G68" s="2">
        <v>46213</v>
      </c>
      <c r="H68" t="s">
        <v>28</v>
      </c>
      <c r="I68" s="3">
        <v>1738204</v>
      </c>
      <c r="J68">
        <v>668</v>
      </c>
      <c r="K68" t="s">
        <v>86</v>
      </c>
      <c r="L68" t="s">
        <v>45</v>
      </c>
      <c r="M68">
        <v>16</v>
      </c>
      <c r="N68" s="3">
        <v>2016.65</v>
      </c>
      <c r="O68" t="s">
        <v>22</v>
      </c>
    </row>
    <row r="69" spans="1:15" x14ac:dyDescent="0.2">
      <c r="A69" t="s">
        <v>184</v>
      </c>
      <c r="B69" t="s">
        <v>185</v>
      </c>
      <c r="C69">
        <v>53</v>
      </c>
      <c r="D69" t="s">
        <v>51</v>
      </c>
      <c r="E69" t="s">
        <v>17</v>
      </c>
      <c r="F69" t="s">
        <v>27</v>
      </c>
      <c r="G69" s="2">
        <v>45819</v>
      </c>
      <c r="H69" t="s">
        <v>19</v>
      </c>
      <c r="I69" s="3">
        <v>3183811</v>
      </c>
      <c r="J69">
        <v>782</v>
      </c>
      <c r="K69" t="s">
        <v>29</v>
      </c>
      <c r="L69" t="s">
        <v>38</v>
      </c>
      <c r="M69">
        <v>9</v>
      </c>
      <c r="N69" s="3">
        <v>10472.370000000001</v>
      </c>
      <c r="O69" t="s">
        <v>22</v>
      </c>
    </row>
    <row r="70" spans="1:15" x14ac:dyDescent="0.2">
      <c r="A70" t="s">
        <v>186</v>
      </c>
      <c r="B70" t="s">
        <v>60</v>
      </c>
      <c r="C70">
        <v>45</v>
      </c>
      <c r="D70" t="s">
        <v>70</v>
      </c>
      <c r="E70" t="s">
        <v>26</v>
      </c>
      <c r="F70" t="s">
        <v>100</v>
      </c>
      <c r="G70" s="2">
        <v>45859</v>
      </c>
      <c r="H70" t="s">
        <v>33</v>
      </c>
      <c r="I70" s="3">
        <v>4083538</v>
      </c>
      <c r="J70">
        <v>664</v>
      </c>
      <c r="K70" t="s">
        <v>92</v>
      </c>
      <c r="L70" t="s">
        <v>30</v>
      </c>
      <c r="M70">
        <v>53</v>
      </c>
      <c r="N70" s="3">
        <v>24496.720000000001</v>
      </c>
      <c r="O70" t="s">
        <v>22</v>
      </c>
    </row>
    <row r="71" spans="1:15" x14ac:dyDescent="0.2">
      <c r="A71" t="s">
        <v>187</v>
      </c>
      <c r="B71" t="s">
        <v>188</v>
      </c>
      <c r="C71">
        <v>34</v>
      </c>
      <c r="D71" t="s">
        <v>70</v>
      </c>
      <c r="E71" t="s">
        <v>26</v>
      </c>
      <c r="F71" t="s">
        <v>27</v>
      </c>
      <c r="G71" s="2">
        <v>45927</v>
      </c>
      <c r="H71" t="s">
        <v>44</v>
      </c>
      <c r="I71" s="3">
        <v>2420856</v>
      </c>
      <c r="J71">
        <v>746</v>
      </c>
      <c r="K71" t="s">
        <v>78</v>
      </c>
      <c r="L71" t="s">
        <v>38</v>
      </c>
      <c r="M71">
        <v>73</v>
      </c>
      <c r="N71" s="3">
        <v>3955.29</v>
      </c>
      <c r="O71" t="s">
        <v>22</v>
      </c>
    </row>
    <row r="72" spans="1:15" x14ac:dyDescent="0.2">
      <c r="A72" t="s">
        <v>189</v>
      </c>
      <c r="B72" t="s">
        <v>190</v>
      </c>
      <c r="C72">
        <v>31</v>
      </c>
      <c r="D72" t="s">
        <v>42</v>
      </c>
      <c r="E72" t="s">
        <v>17</v>
      </c>
      <c r="F72" t="s">
        <v>43</v>
      </c>
      <c r="G72" s="2">
        <v>45928</v>
      </c>
      <c r="H72" t="s">
        <v>52</v>
      </c>
      <c r="I72" s="3">
        <v>781149</v>
      </c>
      <c r="J72">
        <v>651</v>
      </c>
      <c r="K72" t="s">
        <v>92</v>
      </c>
      <c r="L72" t="s">
        <v>45</v>
      </c>
      <c r="M72">
        <v>59</v>
      </c>
      <c r="N72" s="3">
        <v>1133.78</v>
      </c>
      <c r="O72" t="s">
        <v>22</v>
      </c>
    </row>
    <row r="73" spans="1:15" x14ac:dyDescent="0.2">
      <c r="A73" t="s">
        <v>191</v>
      </c>
      <c r="B73" t="s">
        <v>192</v>
      </c>
      <c r="C73">
        <v>55</v>
      </c>
      <c r="D73" t="s">
        <v>42</v>
      </c>
      <c r="E73" t="s">
        <v>26</v>
      </c>
      <c r="F73" t="s">
        <v>18</v>
      </c>
      <c r="G73" s="2">
        <v>46113</v>
      </c>
      <c r="H73" t="s">
        <v>28</v>
      </c>
      <c r="I73" s="3">
        <v>488366</v>
      </c>
      <c r="J73">
        <v>588</v>
      </c>
      <c r="K73" t="s">
        <v>92</v>
      </c>
      <c r="L73" t="s">
        <v>30</v>
      </c>
      <c r="M73">
        <v>119</v>
      </c>
      <c r="N73" s="3">
        <v>6402.68</v>
      </c>
      <c r="O73" t="s">
        <v>22</v>
      </c>
    </row>
    <row r="74" spans="1:15" x14ac:dyDescent="0.2">
      <c r="A74" t="s">
        <v>193</v>
      </c>
      <c r="B74" t="s">
        <v>194</v>
      </c>
      <c r="C74">
        <v>61</v>
      </c>
      <c r="D74" t="s">
        <v>48</v>
      </c>
      <c r="E74" t="s">
        <v>26</v>
      </c>
      <c r="F74" t="s">
        <v>18</v>
      </c>
      <c r="G74" s="2">
        <v>46119</v>
      </c>
      <c r="H74" t="s">
        <v>52</v>
      </c>
      <c r="I74" s="3">
        <v>1115718</v>
      </c>
      <c r="J74">
        <v>837</v>
      </c>
      <c r="K74" t="s">
        <v>67</v>
      </c>
      <c r="L74" t="s">
        <v>30</v>
      </c>
      <c r="M74">
        <v>9</v>
      </c>
      <c r="N74" s="3">
        <v>43706.81</v>
      </c>
      <c r="O74" t="s">
        <v>22</v>
      </c>
    </row>
    <row r="75" spans="1:15" x14ac:dyDescent="0.2">
      <c r="A75" t="s">
        <v>195</v>
      </c>
      <c r="B75" t="s">
        <v>196</v>
      </c>
      <c r="C75">
        <v>34</v>
      </c>
      <c r="D75" t="s">
        <v>51</v>
      </c>
      <c r="E75" t="s">
        <v>26</v>
      </c>
      <c r="F75" t="s">
        <v>100</v>
      </c>
      <c r="G75" s="2">
        <v>45909</v>
      </c>
      <c r="H75" t="s">
        <v>28</v>
      </c>
      <c r="I75" s="3">
        <v>318515</v>
      </c>
      <c r="J75">
        <v>817</v>
      </c>
      <c r="K75" t="s">
        <v>67</v>
      </c>
      <c r="L75" t="s">
        <v>45</v>
      </c>
      <c r="M75">
        <v>12</v>
      </c>
      <c r="N75" s="3">
        <v>31969.81</v>
      </c>
      <c r="O75" t="s">
        <v>22</v>
      </c>
    </row>
    <row r="76" spans="1:15" x14ac:dyDescent="0.2">
      <c r="A76" t="s">
        <v>197</v>
      </c>
      <c r="B76" t="s">
        <v>169</v>
      </c>
      <c r="C76">
        <v>50</v>
      </c>
      <c r="D76" t="s">
        <v>128</v>
      </c>
      <c r="E76" t="s">
        <v>26</v>
      </c>
      <c r="F76" t="s">
        <v>100</v>
      </c>
      <c r="G76" s="2">
        <v>45953</v>
      </c>
      <c r="H76" t="s">
        <v>33</v>
      </c>
      <c r="I76" s="3">
        <v>666740</v>
      </c>
      <c r="J76">
        <v>599</v>
      </c>
      <c r="K76" t="s">
        <v>92</v>
      </c>
      <c r="L76" t="s">
        <v>45</v>
      </c>
      <c r="M76">
        <v>119</v>
      </c>
      <c r="N76" s="3">
        <v>4868.37</v>
      </c>
      <c r="O76" t="s">
        <v>22</v>
      </c>
    </row>
    <row r="77" spans="1:15" x14ac:dyDescent="0.2">
      <c r="A77" t="s">
        <v>198</v>
      </c>
      <c r="B77" t="s">
        <v>199</v>
      </c>
      <c r="C77">
        <v>61</v>
      </c>
      <c r="D77" t="s">
        <v>128</v>
      </c>
      <c r="E77" t="s">
        <v>26</v>
      </c>
      <c r="F77" t="s">
        <v>18</v>
      </c>
      <c r="G77" s="2">
        <v>45995</v>
      </c>
      <c r="H77" t="s">
        <v>28</v>
      </c>
      <c r="I77" s="3">
        <v>2616361</v>
      </c>
      <c r="J77">
        <v>812</v>
      </c>
      <c r="K77" t="s">
        <v>78</v>
      </c>
      <c r="L77" t="s">
        <v>45</v>
      </c>
      <c r="M77">
        <v>41</v>
      </c>
      <c r="N77" s="3">
        <v>14447.7</v>
      </c>
      <c r="O77" t="s">
        <v>39</v>
      </c>
    </row>
    <row r="78" spans="1:15" x14ac:dyDescent="0.2">
      <c r="A78" t="s">
        <v>200</v>
      </c>
      <c r="B78" t="s">
        <v>201</v>
      </c>
      <c r="C78">
        <v>24</v>
      </c>
      <c r="D78" t="s">
        <v>25</v>
      </c>
      <c r="E78" t="s">
        <v>56</v>
      </c>
      <c r="F78" t="s">
        <v>27</v>
      </c>
      <c r="G78" s="2">
        <v>45710</v>
      </c>
      <c r="H78" t="s">
        <v>19</v>
      </c>
      <c r="I78" s="3">
        <v>2143884</v>
      </c>
      <c r="J78">
        <v>800</v>
      </c>
      <c r="K78" t="s">
        <v>67</v>
      </c>
      <c r="L78" t="s">
        <v>38</v>
      </c>
      <c r="M78">
        <v>15</v>
      </c>
      <c r="N78" s="3">
        <v>17055.419999999998</v>
      </c>
      <c r="O78" t="s">
        <v>22</v>
      </c>
    </row>
    <row r="79" spans="1:15" x14ac:dyDescent="0.2">
      <c r="A79" t="s">
        <v>202</v>
      </c>
      <c r="B79" t="s">
        <v>203</v>
      </c>
      <c r="C79">
        <v>24</v>
      </c>
      <c r="D79" t="s">
        <v>16</v>
      </c>
      <c r="E79" t="s">
        <v>26</v>
      </c>
      <c r="F79" t="s">
        <v>18</v>
      </c>
      <c r="G79" s="2">
        <v>45874</v>
      </c>
      <c r="H79" t="s">
        <v>28</v>
      </c>
      <c r="I79" s="3">
        <v>1191208</v>
      </c>
      <c r="J79">
        <v>596</v>
      </c>
      <c r="K79" t="s">
        <v>57</v>
      </c>
      <c r="L79" t="s">
        <v>45</v>
      </c>
      <c r="M79">
        <v>66</v>
      </c>
      <c r="N79" s="3">
        <v>42824.05</v>
      </c>
      <c r="O79" t="s">
        <v>22</v>
      </c>
    </row>
    <row r="80" spans="1:15" x14ac:dyDescent="0.2">
      <c r="A80" t="s">
        <v>204</v>
      </c>
      <c r="B80" t="s">
        <v>205</v>
      </c>
      <c r="C80">
        <v>48</v>
      </c>
      <c r="D80" t="s">
        <v>75</v>
      </c>
      <c r="E80" t="s">
        <v>26</v>
      </c>
      <c r="F80" t="s">
        <v>27</v>
      </c>
      <c r="G80" s="2">
        <v>45845</v>
      </c>
      <c r="H80" t="s">
        <v>28</v>
      </c>
      <c r="I80" s="3">
        <v>3532422</v>
      </c>
      <c r="J80">
        <v>668</v>
      </c>
      <c r="K80" t="s">
        <v>34</v>
      </c>
      <c r="L80" t="s">
        <v>38</v>
      </c>
      <c r="M80">
        <v>75</v>
      </c>
      <c r="N80" s="3">
        <v>1757.92</v>
      </c>
      <c r="O80" t="s">
        <v>22</v>
      </c>
    </row>
    <row r="81" spans="1:15" x14ac:dyDescent="0.2">
      <c r="A81" t="s">
        <v>206</v>
      </c>
      <c r="B81" t="s">
        <v>32</v>
      </c>
      <c r="C81">
        <v>28</v>
      </c>
      <c r="D81" t="s">
        <v>42</v>
      </c>
      <c r="E81" t="s">
        <v>26</v>
      </c>
      <c r="F81" t="s">
        <v>27</v>
      </c>
      <c r="G81" s="2">
        <v>46037</v>
      </c>
      <c r="H81" t="s">
        <v>44</v>
      </c>
      <c r="I81" s="3">
        <v>3217381</v>
      </c>
      <c r="J81">
        <v>775</v>
      </c>
      <c r="K81" t="s">
        <v>34</v>
      </c>
      <c r="L81" t="s">
        <v>58</v>
      </c>
      <c r="M81">
        <v>11</v>
      </c>
      <c r="N81" s="3">
        <v>2915.31</v>
      </c>
      <c r="O81" t="s">
        <v>22</v>
      </c>
    </row>
    <row r="82" spans="1:15" x14ac:dyDescent="0.2">
      <c r="A82" t="s">
        <v>207</v>
      </c>
      <c r="B82" t="s">
        <v>208</v>
      </c>
      <c r="C82">
        <v>22</v>
      </c>
      <c r="D82" t="s">
        <v>55</v>
      </c>
      <c r="E82" t="s">
        <v>56</v>
      </c>
      <c r="F82" t="s">
        <v>100</v>
      </c>
      <c r="G82" s="2">
        <v>46150</v>
      </c>
      <c r="H82" t="s">
        <v>28</v>
      </c>
      <c r="I82" s="3">
        <v>2588692</v>
      </c>
      <c r="J82">
        <v>663</v>
      </c>
      <c r="K82" t="s">
        <v>67</v>
      </c>
      <c r="L82" t="s">
        <v>30</v>
      </c>
      <c r="M82">
        <v>8</v>
      </c>
      <c r="N82" s="3">
        <v>1085.46</v>
      </c>
      <c r="O82" t="s">
        <v>22</v>
      </c>
    </row>
    <row r="83" spans="1:15" x14ac:dyDescent="0.2">
      <c r="A83" t="s">
        <v>209</v>
      </c>
      <c r="B83" t="s">
        <v>175</v>
      </c>
      <c r="C83">
        <v>61</v>
      </c>
      <c r="D83" t="s">
        <v>48</v>
      </c>
      <c r="E83" t="s">
        <v>17</v>
      </c>
      <c r="F83" t="s">
        <v>27</v>
      </c>
      <c r="G83" s="2">
        <v>45698</v>
      </c>
      <c r="H83" t="s">
        <v>33</v>
      </c>
      <c r="I83" s="3">
        <v>2310035</v>
      </c>
      <c r="J83">
        <v>666</v>
      </c>
      <c r="K83" t="s">
        <v>78</v>
      </c>
      <c r="L83" t="s">
        <v>30</v>
      </c>
      <c r="M83">
        <v>55</v>
      </c>
      <c r="N83" s="3">
        <v>4392.57</v>
      </c>
      <c r="O83" t="s">
        <v>22</v>
      </c>
    </row>
    <row r="84" spans="1:15" x14ac:dyDescent="0.2">
      <c r="A84" t="s">
        <v>210</v>
      </c>
      <c r="B84" t="s">
        <v>211</v>
      </c>
      <c r="C84">
        <v>66</v>
      </c>
      <c r="D84" t="s">
        <v>70</v>
      </c>
      <c r="E84" t="s">
        <v>17</v>
      </c>
      <c r="F84" t="s">
        <v>27</v>
      </c>
      <c r="G84" s="2">
        <v>45814</v>
      </c>
      <c r="H84" t="s">
        <v>52</v>
      </c>
      <c r="I84" s="3">
        <v>3364659</v>
      </c>
      <c r="J84">
        <v>733</v>
      </c>
      <c r="K84" t="s">
        <v>34</v>
      </c>
      <c r="L84" t="s">
        <v>21</v>
      </c>
      <c r="M84">
        <v>96</v>
      </c>
      <c r="N84" s="3">
        <v>27436.26</v>
      </c>
      <c r="O84" t="s">
        <v>22</v>
      </c>
    </row>
    <row r="85" spans="1:15" x14ac:dyDescent="0.2">
      <c r="A85" t="s">
        <v>212</v>
      </c>
      <c r="B85" t="s">
        <v>213</v>
      </c>
      <c r="C85">
        <v>42</v>
      </c>
      <c r="D85" t="s">
        <v>75</v>
      </c>
      <c r="E85" t="s">
        <v>56</v>
      </c>
      <c r="F85" t="s">
        <v>27</v>
      </c>
      <c r="G85" s="2">
        <v>45672</v>
      </c>
      <c r="H85" t="s">
        <v>44</v>
      </c>
      <c r="I85" s="3">
        <v>1914005</v>
      </c>
      <c r="J85">
        <v>807</v>
      </c>
      <c r="K85" t="s">
        <v>20</v>
      </c>
      <c r="L85" t="s">
        <v>58</v>
      </c>
      <c r="M85">
        <v>6</v>
      </c>
      <c r="N85" s="3">
        <v>4975.57</v>
      </c>
      <c r="O85" t="s">
        <v>22</v>
      </c>
    </row>
    <row r="86" spans="1:15" x14ac:dyDescent="0.2">
      <c r="A86" t="s">
        <v>214</v>
      </c>
      <c r="B86" t="s">
        <v>215</v>
      </c>
      <c r="C86">
        <v>61</v>
      </c>
      <c r="D86" t="s">
        <v>105</v>
      </c>
      <c r="E86" t="s">
        <v>56</v>
      </c>
      <c r="F86" t="s">
        <v>18</v>
      </c>
      <c r="G86" s="2">
        <v>45722</v>
      </c>
      <c r="H86" t="s">
        <v>19</v>
      </c>
      <c r="I86" s="3">
        <v>1657576</v>
      </c>
      <c r="J86">
        <v>843</v>
      </c>
      <c r="K86" t="s">
        <v>34</v>
      </c>
      <c r="L86" t="s">
        <v>45</v>
      </c>
      <c r="M86">
        <v>53</v>
      </c>
      <c r="N86" s="3">
        <v>2267.4299999999998</v>
      </c>
      <c r="O86" t="s">
        <v>39</v>
      </c>
    </row>
    <row r="87" spans="1:15" x14ac:dyDescent="0.2">
      <c r="A87" t="s">
        <v>216</v>
      </c>
      <c r="B87" t="s">
        <v>217</v>
      </c>
      <c r="C87">
        <v>36</v>
      </c>
      <c r="D87" t="s">
        <v>48</v>
      </c>
      <c r="E87" t="s">
        <v>26</v>
      </c>
      <c r="F87" t="s">
        <v>43</v>
      </c>
      <c r="G87" s="2">
        <v>46178</v>
      </c>
      <c r="H87" t="s">
        <v>19</v>
      </c>
      <c r="I87" s="3">
        <v>4271926</v>
      </c>
      <c r="J87">
        <v>802</v>
      </c>
      <c r="K87" t="s">
        <v>86</v>
      </c>
      <c r="L87" t="s">
        <v>45</v>
      </c>
      <c r="M87">
        <v>20</v>
      </c>
      <c r="N87" s="3">
        <v>11361.3</v>
      </c>
      <c r="O87" t="s">
        <v>22</v>
      </c>
    </row>
    <row r="88" spans="1:15" x14ac:dyDescent="0.2">
      <c r="A88" t="s">
        <v>218</v>
      </c>
      <c r="B88" t="s">
        <v>111</v>
      </c>
      <c r="C88">
        <v>49</v>
      </c>
      <c r="D88" t="s">
        <v>105</v>
      </c>
      <c r="E88" t="s">
        <v>17</v>
      </c>
      <c r="F88" t="s">
        <v>18</v>
      </c>
      <c r="G88" s="2">
        <v>46001</v>
      </c>
      <c r="H88" t="s">
        <v>28</v>
      </c>
      <c r="I88" s="3">
        <v>272995</v>
      </c>
      <c r="J88">
        <v>700</v>
      </c>
      <c r="K88" t="s">
        <v>78</v>
      </c>
      <c r="L88" t="s">
        <v>58</v>
      </c>
      <c r="M88">
        <v>39</v>
      </c>
      <c r="N88" s="3">
        <v>11672.46</v>
      </c>
      <c r="O88" t="s">
        <v>22</v>
      </c>
    </row>
    <row r="89" spans="1:15" x14ac:dyDescent="0.2">
      <c r="A89" t="s">
        <v>219</v>
      </c>
      <c r="B89" t="s">
        <v>142</v>
      </c>
      <c r="C89">
        <v>69</v>
      </c>
      <c r="D89" t="s">
        <v>37</v>
      </c>
      <c r="E89" t="s">
        <v>56</v>
      </c>
      <c r="F89" t="s">
        <v>27</v>
      </c>
      <c r="G89" s="2">
        <v>45786</v>
      </c>
      <c r="H89" t="s">
        <v>44</v>
      </c>
      <c r="I89" s="3">
        <v>1903005</v>
      </c>
      <c r="J89">
        <v>752</v>
      </c>
      <c r="K89" t="s">
        <v>67</v>
      </c>
      <c r="L89" t="s">
        <v>45</v>
      </c>
      <c r="M89">
        <v>99</v>
      </c>
      <c r="N89" s="3">
        <v>3078.19</v>
      </c>
      <c r="O89" t="s">
        <v>22</v>
      </c>
    </row>
    <row r="90" spans="1:15" x14ac:dyDescent="0.2">
      <c r="A90" t="s">
        <v>220</v>
      </c>
      <c r="B90" t="s">
        <v>111</v>
      </c>
      <c r="C90">
        <v>68</v>
      </c>
      <c r="D90" t="s">
        <v>51</v>
      </c>
      <c r="E90" t="s">
        <v>83</v>
      </c>
      <c r="F90" t="s">
        <v>18</v>
      </c>
      <c r="G90" s="2">
        <v>46129</v>
      </c>
      <c r="H90" t="s">
        <v>33</v>
      </c>
      <c r="I90" s="3">
        <v>1962355</v>
      </c>
      <c r="J90">
        <v>583</v>
      </c>
      <c r="K90" t="s">
        <v>67</v>
      </c>
      <c r="L90" t="s">
        <v>21</v>
      </c>
      <c r="M90">
        <v>72</v>
      </c>
      <c r="N90" s="3">
        <v>5264.03</v>
      </c>
      <c r="O90" t="s">
        <v>22</v>
      </c>
    </row>
    <row r="91" spans="1:15" x14ac:dyDescent="0.2">
      <c r="A91" t="s">
        <v>221</v>
      </c>
      <c r="B91" t="s">
        <v>217</v>
      </c>
      <c r="C91">
        <v>50</v>
      </c>
      <c r="D91" t="s">
        <v>105</v>
      </c>
      <c r="E91" t="s">
        <v>56</v>
      </c>
      <c r="F91" t="s">
        <v>18</v>
      </c>
      <c r="G91" s="2">
        <v>45720</v>
      </c>
      <c r="H91" t="s">
        <v>33</v>
      </c>
      <c r="I91" s="3">
        <v>691168</v>
      </c>
      <c r="J91">
        <v>707</v>
      </c>
      <c r="K91" t="s">
        <v>34</v>
      </c>
      <c r="L91" t="s">
        <v>38</v>
      </c>
      <c r="M91">
        <v>114</v>
      </c>
      <c r="N91" s="3">
        <v>10489.24</v>
      </c>
      <c r="O91" t="s">
        <v>22</v>
      </c>
    </row>
    <row r="92" spans="1:15" x14ac:dyDescent="0.2">
      <c r="A92" t="s">
        <v>222</v>
      </c>
      <c r="B92" t="s">
        <v>223</v>
      </c>
      <c r="C92">
        <v>32</v>
      </c>
      <c r="D92" t="s">
        <v>105</v>
      </c>
      <c r="E92" t="s">
        <v>26</v>
      </c>
      <c r="F92" t="s">
        <v>27</v>
      </c>
      <c r="G92" s="2">
        <v>45796</v>
      </c>
      <c r="H92" t="s">
        <v>28</v>
      </c>
      <c r="I92" s="3">
        <v>939197</v>
      </c>
      <c r="J92">
        <v>689</v>
      </c>
      <c r="K92" t="s">
        <v>78</v>
      </c>
      <c r="L92" t="s">
        <v>30</v>
      </c>
      <c r="M92">
        <v>113</v>
      </c>
      <c r="N92" s="3">
        <v>19600.02</v>
      </c>
      <c r="O92" t="s">
        <v>22</v>
      </c>
    </row>
    <row r="93" spans="1:15" x14ac:dyDescent="0.2">
      <c r="A93" t="s">
        <v>224</v>
      </c>
      <c r="B93" t="s">
        <v>117</v>
      </c>
      <c r="C93">
        <v>55</v>
      </c>
      <c r="D93" t="s">
        <v>37</v>
      </c>
      <c r="E93" t="s">
        <v>26</v>
      </c>
      <c r="F93" t="s">
        <v>27</v>
      </c>
      <c r="G93" s="2">
        <v>46156</v>
      </c>
      <c r="H93" t="s">
        <v>33</v>
      </c>
      <c r="I93" s="3">
        <v>749471</v>
      </c>
      <c r="J93">
        <v>616</v>
      </c>
      <c r="K93" t="s">
        <v>57</v>
      </c>
      <c r="L93" t="s">
        <v>58</v>
      </c>
      <c r="M93">
        <v>107</v>
      </c>
      <c r="N93" s="3">
        <v>4530.9399999999996</v>
      </c>
      <c r="O93" t="s">
        <v>39</v>
      </c>
    </row>
    <row r="94" spans="1:15" x14ac:dyDescent="0.2">
      <c r="A94" t="s">
        <v>225</v>
      </c>
      <c r="B94" t="s">
        <v>226</v>
      </c>
      <c r="C94">
        <v>31</v>
      </c>
      <c r="D94" t="s">
        <v>89</v>
      </c>
      <c r="E94" t="s">
        <v>26</v>
      </c>
      <c r="F94" t="s">
        <v>27</v>
      </c>
      <c r="G94" s="2">
        <v>46250</v>
      </c>
      <c r="H94" t="s">
        <v>19</v>
      </c>
      <c r="I94" s="3">
        <v>2663911</v>
      </c>
      <c r="K94" t="s">
        <v>20</v>
      </c>
      <c r="L94" t="s">
        <v>30</v>
      </c>
      <c r="M94">
        <v>34</v>
      </c>
      <c r="N94" s="3">
        <v>3894.71</v>
      </c>
      <c r="O94" t="s">
        <v>22</v>
      </c>
    </row>
    <row r="95" spans="1:15" x14ac:dyDescent="0.2">
      <c r="A95" t="s">
        <v>227</v>
      </c>
      <c r="B95" t="s">
        <v>228</v>
      </c>
      <c r="C95">
        <v>66</v>
      </c>
      <c r="D95" t="s">
        <v>89</v>
      </c>
      <c r="E95" t="s">
        <v>56</v>
      </c>
      <c r="F95" t="s">
        <v>100</v>
      </c>
      <c r="G95" s="2">
        <v>46049</v>
      </c>
      <c r="H95" t="s">
        <v>44</v>
      </c>
      <c r="I95" s="3">
        <v>3898984</v>
      </c>
      <c r="J95">
        <v>610</v>
      </c>
      <c r="K95" t="s">
        <v>67</v>
      </c>
      <c r="L95" t="s">
        <v>38</v>
      </c>
      <c r="M95">
        <v>57</v>
      </c>
      <c r="N95" s="3">
        <v>66714.820000000007</v>
      </c>
      <c r="O95" t="s">
        <v>22</v>
      </c>
    </row>
    <row r="96" spans="1:15" x14ac:dyDescent="0.2">
      <c r="A96" t="s">
        <v>229</v>
      </c>
      <c r="B96" t="s">
        <v>230</v>
      </c>
      <c r="C96">
        <v>70</v>
      </c>
      <c r="D96" t="s">
        <v>89</v>
      </c>
      <c r="E96" t="s">
        <v>26</v>
      </c>
      <c r="F96" t="s">
        <v>43</v>
      </c>
      <c r="G96" s="2">
        <v>46076</v>
      </c>
      <c r="H96" t="s">
        <v>28</v>
      </c>
      <c r="I96" s="3">
        <v>260514</v>
      </c>
      <c r="J96">
        <v>847</v>
      </c>
      <c r="K96" t="s">
        <v>78</v>
      </c>
      <c r="L96" t="s">
        <v>58</v>
      </c>
      <c r="M96">
        <v>117</v>
      </c>
      <c r="N96" s="3">
        <v>6716.16</v>
      </c>
      <c r="O96" t="s">
        <v>22</v>
      </c>
    </row>
    <row r="97" spans="1:15" x14ac:dyDescent="0.2">
      <c r="A97" t="s">
        <v>231</v>
      </c>
      <c r="B97" t="s">
        <v>232</v>
      </c>
      <c r="C97">
        <v>41</v>
      </c>
      <c r="D97" t="s">
        <v>51</v>
      </c>
      <c r="E97" t="s">
        <v>26</v>
      </c>
      <c r="F97" t="s">
        <v>100</v>
      </c>
      <c r="G97" s="2">
        <v>45946</v>
      </c>
      <c r="H97" t="s">
        <v>28</v>
      </c>
      <c r="I97" s="3">
        <v>2394608</v>
      </c>
      <c r="J97">
        <v>590</v>
      </c>
      <c r="K97" t="s">
        <v>67</v>
      </c>
      <c r="L97" t="s">
        <v>38</v>
      </c>
      <c r="M97">
        <v>120</v>
      </c>
      <c r="N97" s="3">
        <v>11636.55</v>
      </c>
      <c r="O97" t="s">
        <v>22</v>
      </c>
    </row>
    <row r="98" spans="1:15" x14ac:dyDescent="0.2">
      <c r="A98" t="s">
        <v>233</v>
      </c>
      <c r="B98" t="s">
        <v>234</v>
      </c>
      <c r="C98">
        <v>41</v>
      </c>
      <c r="D98" t="s">
        <v>75</v>
      </c>
      <c r="E98" t="s">
        <v>56</v>
      </c>
      <c r="F98" t="s">
        <v>27</v>
      </c>
      <c r="G98" s="2">
        <v>46036</v>
      </c>
      <c r="H98" t="s">
        <v>28</v>
      </c>
      <c r="I98" s="3">
        <v>2354385</v>
      </c>
      <c r="J98">
        <v>611</v>
      </c>
      <c r="K98" t="s">
        <v>67</v>
      </c>
      <c r="L98" t="s">
        <v>45</v>
      </c>
      <c r="M98">
        <v>19</v>
      </c>
      <c r="N98" s="3">
        <v>17690.5</v>
      </c>
      <c r="O98" t="s">
        <v>22</v>
      </c>
    </row>
    <row r="99" spans="1:15" x14ac:dyDescent="0.2">
      <c r="A99" t="s">
        <v>235</v>
      </c>
      <c r="B99" t="s">
        <v>236</v>
      </c>
      <c r="C99">
        <v>25</v>
      </c>
      <c r="D99" t="s">
        <v>48</v>
      </c>
      <c r="E99" t="s">
        <v>26</v>
      </c>
      <c r="F99" t="s">
        <v>18</v>
      </c>
      <c r="G99" s="2">
        <v>46147</v>
      </c>
      <c r="H99" t="s">
        <v>44</v>
      </c>
      <c r="I99" s="3">
        <v>3461861</v>
      </c>
      <c r="J99">
        <v>636</v>
      </c>
      <c r="K99" t="s">
        <v>86</v>
      </c>
      <c r="L99" t="s">
        <v>45</v>
      </c>
      <c r="M99">
        <v>71</v>
      </c>
      <c r="N99" s="3">
        <v>1371.65</v>
      </c>
      <c r="O99" t="s">
        <v>22</v>
      </c>
    </row>
    <row r="100" spans="1:15" x14ac:dyDescent="0.2">
      <c r="A100" t="s">
        <v>237</v>
      </c>
      <c r="B100" t="s">
        <v>238</v>
      </c>
      <c r="C100">
        <v>68</v>
      </c>
      <c r="D100" t="s">
        <v>48</v>
      </c>
      <c r="E100" t="s">
        <v>56</v>
      </c>
      <c r="F100" t="s">
        <v>18</v>
      </c>
      <c r="G100" s="2">
        <v>45888</v>
      </c>
      <c r="H100" t="s">
        <v>52</v>
      </c>
      <c r="I100" s="3">
        <v>3180299</v>
      </c>
      <c r="J100">
        <v>745</v>
      </c>
      <c r="K100" t="s">
        <v>34</v>
      </c>
      <c r="L100" t="s">
        <v>45</v>
      </c>
      <c r="M100">
        <v>31</v>
      </c>
      <c r="N100" s="3">
        <v>8782.77</v>
      </c>
      <c r="O100" t="s">
        <v>22</v>
      </c>
    </row>
    <row r="101" spans="1:15" x14ac:dyDescent="0.2">
      <c r="A101" t="s">
        <v>239</v>
      </c>
      <c r="B101" t="s">
        <v>240</v>
      </c>
      <c r="C101">
        <v>40</v>
      </c>
      <c r="D101" t="s">
        <v>55</v>
      </c>
      <c r="E101" t="s">
        <v>26</v>
      </c>
      <c r="F101" t="s">
        <v>18</v>
      </c>
      <c r="G101" s="2">
        <v>45698</v>
      </c>
      <c r="H101" t="s">
        <v>28</v>
      </c>
      <c r="I101" s="3">
        <v>878373</v>
      </c>
      <c r="J101">
        <v>767</v>
      </c>
      <c r="K101" t="s">
        <v>86</v>
      </c>
      <c r="L101" t="s">
        <v>38</v>
      </c>
      <c r="M101">
        <v>82</v>
      </c>
      <c r="N101" s="3">
        <v>1590.81</v>
      </c>
      <c r="O101" t="s">
        <v>22</v>
      </c>
    </row>
    <row r="102" spans="1:15" x14ac:dyDescent="0.2">
      <c r="A102" t="s">
        <v>241</v>
      </c>
      <c r="B102" t="s">
        <v>242</v>
      </c>
      <c r="C102">
        <v>57</v>
      </c>
      <c r="D102" t="s">
        <v>89</v>
      </c>
      <c r="E102" t="s">
        <v>26</v>
      </c>
      <c r="F102" t="s">
        <v>100</v>
      </c>
      <c r="G102" s="2">
        <v>45685</v>
      </c>
      <c r="H102" t="s">
        <v>28</v>
      </c>
      <c r="I102" s="3">
        <v>883389</v>
      </c>
      <c r="J102">
        <v>598</v>
      </c>
      <c r="K102" t="s">
        <v>34</v>
      </c>
      <c r="L102" t="s">
        <v>38</v>
      </c>
      <c r="M102">
        <v>40</v>
      </c>
      <c r="N102" s="3">
        <v>7806.28</v>
      </c>
      <c r="O102" t="s">
        <v>39</v>
      </c>
    </row>
    <row r="103" spans="1:15" x14ac:dyDescent="0.2">
      <c r="A103" t="s">
        <v>243</v>
      </c>
      <c r="B103" t="s">
        <v>244</v>
      </c>
      <c r="C103">
        <v>23</v>
      </c>
      <c r="D103" t="s">
        <v>51</v>
      </c>
      <c r="E103" t="s">
        <v>26</v>
      </c>
      <c r="F103" t="s">
        <v>27</v>
      </c>
      <c r="G103" s="2">
        <v>45792</v>
      </c>
      <c r="H103" t="s">
        <v>28</v>
      </c>
      <c r="I103" s="3">
        <v>1407260</v>
      </c>
      <c r="J103">
        <v>695</v>
      </c>
      <c r="K103" t="s">
        <v>67</v>
      </c>
      <c r="L103" t="s">
        <v>38</v>
      </c>
      <c r="M103">
        <v>14</v>
      </c>
      <c r="N103" s="3">
        <v>37864.910000000003</v>
      </c>
      <c r="O103" t="s">
        <v>22</v>
      </c>
    </row>
    <row r="104" spans="1:15" x14ac:dyDescent="0.2">
      <c r="A104" t="s">
        <v>245</v>
      </c>
      <c r="B104" t="s">
        <v>246</v>
      </c>
      <c r="C104">
        <v>64</v>
      </c>
      <c r="D104" t="s">
        <v>55</v>
      </c>
      <c r="E104" t="s">
        <v>56</v>
      </c>
      <c r="F104" t="s">
        <v>27</v>
      </c>
      <c r="G104" s="2">
        <v>45858</v>
      </c>
      <c r="H104" t="s">
        <v>28</v>
      </c>
      <c r="I104" s="3">
        <v>1625520</v>
      </c>
      <c r="J104">
        <v>763</v>
      </c>
      <c r="K104" t="s">
        <v>78</v>
      </c>
      <c r="L104" t="s">
        <v>30</v>
      </c>
      <c r="M104">
        <v>103</v>
      </c>
      <c r="N104" s="3">
        <v>3138.84</v>
      </c>
      <c r="O104" t="s">
        <v>22</v>
      </c>
    </row>
    <row r="105" spans="1:15" x14ac:dyDescent="0.2">
      <c r="A105" t="s">
        <v>247</v>
      </c>
      <c r="B105" t="s">
        <v>248</v>
      </c>
      <c r="C105">
        <v>53</v>
      </c>
      <c r="D105" t="s">
        <v>16</v>
      </c>
      <c r="E105" t="s">
        <v>26</v>
      </c>
      <c r="F105" t="s">
        <v>18</v>
      </c>
      <c r="G105" s="2">
        <v>45690</v>
      </c>
      <c r="H105" t="s">
        <v>44</v>
      </c>
      <c r="I105" s="3">
        <v>3605000</v>
      </c>
      <c r="J105">
        <v>849</v>
      </c>
      <c r="K105" t="s">
        <v>92</v>
      </c>
      <c r="L105" t="s">
        <v>38</v>
      </c>
      <c r="M105">
        <v>117</v>
      </c>
      <c r="N105" s="3">
        <v>1556.6</v>
      </c>
      <c r="O105" t="s">
        <v>22</v>
      </c>
    </row>
    <row r="106" spans="1:15" x14ac:dyDescent="0.2">
      <c r="A106" t="s">
        <v>249</v>
      </c>
      <c r="B106" t="s">
        <v>250</v>
      </c>
      <c r="C106">
        <v>29</v>
      </c>
      <c r="D106" t="s">
        <v>55</v>
      </c>
      <c r="E106" t="s">
        <v>26</v>
      </c>
      <c r="F106" t="s">
        <v>18</v>
      </c>
      <c r="G106" s="2">
        <v>45705</v>
      </c>
      <c r="H106" t="s">
        <v>33</v>
      </c>
      <c r="I106" s="3">
        <v>3831311</v>
      </c>
      <c r="J106">
        <v>612</v>
      </c>
      <c r="K106" t="s">
        <v>34</v>
      </c>
      <c r="L106" t="s">
        <v>45</v>
      </c>
      <c r="M106">
        <v>100</v>
      </c>
      <c r="N106" s="3">
        <v>64995.29</v>
      </c>
      <c r="O106" t="s">
        <v>22</v>
      </c>
    </row>
    <row r="107" spans="1:15" x14ac:dyDescent="0.2">
      <c r="A107" t="s">
        <v>251</v>
      </c>
      <c r="B107" t="s">
        <v>82</v>
      </c>
      <c r="C107">
        <v>29</v>
      </c>
      <c r="D107" t="s">
        <v>75</v>
      </c>
      <c r="E107" t="s">
        <v>83</v>
      </c>
      <c r="F107" t="s">
        <v>43</v>
      </c>
      <c r="G107" s="2">
        <v>46160</v>
      </c>
      <c r="H107" t="s">
        <v>28</v>
      </c>
      <c r="I107" s="3">
        <v>4033831</v>
      </c>
      <c r="J107">
        <v>589</v>
      </c>
      <c r="K107" t="s">
        <v>92</v>
      </c>
      <c r="L107" t="s">
        <v>21</v>
      </c>
      <c r="M107">
        <v>81</v>
      </c>
      <c r="N107" s="3">
        <v>2685.41</v>
      </c>
      <c r="O107" t="s">
        <v>22</v>
      </c>
    </row>
    <row r="108" spans="1:15" x14ac:dyDescent="0.2">
      <c r="A108" t="s">
        <v>252</v>
      </c>
      <c r="B108" t="s">
        <v>253</v>
      </c>
      <c r="C108">
        <v>24</v>
      </c>
      <c r="D108" t="s">
        <v>42</v>
      </c>
      <c r="E108" t="s">
        <v>26</v>
      </c>
      <c r="F108" t="s">
        <v>27</v>
      </c>
      <c r="G108" s="2">
        <v>46064</v>
      </c>
      <c r="H108" t="s">
        <v>33</v>
      </c>
      <c r="I108" s="3">
        <v>4046286</v>
      </c>
      <c r="J108">
        <v>659</v>
      </c>
      <c r="K108" t="s">
        <v>20</v>
      </c>
      <c r="L108" t="s">
        <v>38</v>
      </c>
      <c r="M108">
        <v>37</v>
      </c>
      <c r="N108" s="3">
        <v>1856.58</v>
      </c>
      <c r="O108" t="s">
        <v>22</v>
      </c>
    </row>
    <row r="109" spans="1:15" x14ac:dyDescent="0.2">
      <c r="A109" t="s">
        <v>254</v>
      </c>
      <c r="B109" t="s">
        <v>47</v>
      </c>
      <c r="C109">
        <v>55</v>
      </c>
      <c r="D109" t="s">
        <v>105</v>
      </c>
      <c r="E109" t="s">
        <v>17</v>
      </c>
      <c r="F109" t="s">
        <v>43</v>
      </c>
      <c r="G109" s="2">
        <v>46231</v>
      </c>
      <c r="H109" t="s">
        <v>28</v>
      </c>
      <c r="I109" s="3">
        <v>2211328</v>
      </c>
      <c r="J109">
        <v>771</v>
      </c>
      <c r="K109" t="s">
        <v>86</v>
      </c>
      <c r="L109" t="s">
        <v>21</v>
      </c>
      <c r="M109">
        <v>44</v>
      </c>
      <c r="N109" s="3">
        <v>49019.98</v>
      </c>
      <c r="O109" t="s">
        <v>22</v>
      </c>
    </row>
    <row r="110" spans="1:15" x14ac:dyDescent="0.2">
      <c r="A110" t="s">
        <v>255</v>
      </c>
      <c r="B110" t="s">
        <v>132</v>
      </c>
      <c r="C110">
        <v>37</v>
      </c>
      <c r="D110" t="s">
        <v>89</v>
      </c>
      <c r="E110" t="s">
        <v>17</v>
      </c>
      <c r="F110" t="s">
        <v>27</v>
      </c>
      <c r="G110" s="2">
        <v>45756</v>
      </c>
      <c r="H110" t="s">
        <v>19</v>
      </c>
      <c r="I110" s="3">
        <v>4339437</v>
      </c>
      <c r="J110">
        <v>769</v>
      </c>
      <c r="K110" t="s">
        <v>92</v>
      </c>
      <c r="L110" t="s">
        <v>45</v>
      </c>
      <c r="M110">
        <v>9</v>
      </c>
      <c r="N110" s="3">
        <v>2576.5500000000002</v>
      </c>
      <c r="O110" t="s">
        <v>22</v>
      </c>
    </row>
    <row r="111" spans="1:15" x14ac:dyDescent="0.2">
      <c r="A111" t="s">
        <v>256</v>
      </c>
      <c r="B111" t="s">
        <v>85</v>
      </c>
      <c r="C111">
        <v>54</v>
      </c>
      <c r="D111" t="s">
        <v>37</v>
      </c>
      <c r="E111" t="s">
        <v>26</v>
      </c>
      <c r="F111" t="s">
        <v>27</v>
      </c>
      <c r="G111" s="2">
        <v>46204</v>
      </c>
      <c r="H111" t="s">
        <v>28</v>
      </c>
      <c r="I111" s="3">
        <v>3819199</v>
      </c>
      <c r="J111">
        <v>647</v>
      </c>
      <c r="K111" t="s">
        <v>86</v>
      </c>
      <c r="L111" t="s">
        <v>38</v>
      </c>
      <c r="M111">
        <v>58</v>
      </c>
      <c r="N111" s="3">
        <v>50370.45</v>
      </c>
      <c r="O111" t="s">
        <v>22</v>
      </c>
    </row>
    <row r="112" spans="1:15" x14ac:dyDescent="0.2">
      <c r="A112" t="s">
        <v>257</v>
      </c>
      <c r="B112" t="s">
        <v>127</v>
      </c>
      <c r="C112">
        <v>44</v>
      </c>
      <c r="D112" t="s">
        <v>42</v>
      </c>
      <c r="E112" t="s">
        <v>17</v>
      </c>
      <c r="F112" t="s">
        <v>43</v>
      </c>
      <c r="G112" s="2">
        <v>46119</v>
      </c>
      <c r="H112" t="s">
        <v>28</v>
      </c>
      <c r="I112" s="3">
        <v>3941198</v>
      </c>
      <c r="J112">
        <v>704</v>
      </c>
      <c r="K112" t="s">
        <v>34</v>
      </c>
      <c r="L112" t="s">
        <v>30</v>
      </c>
      <c r="M112">
        <v>20</v>
      </c>
      <c r="N112" s="3">
        <v>11941.74</v>
      </c>
      <c r="O112" t="s">
        <v>22</v>
      </c>
    </row>
    <row r="113" spans="1:15" x14ac:dyDescent="0.2">
      <c r="A113" t="s">
        <v>258</v>
      </c>
      <c r="B113" t="s">
        <v>259</v>
      </c>
      <c r="C113">
        <v>52</v>
      </c>
      <c r="D113" t="s">
        <v>70</v>
      </c>
      <c r="E113" t="s">
        <v>26</v>
      </c>
      <c r="F113" t="s">
        <v>18</v>
      </c>
      <c r="G113" s="2">
        <v>45662</v>
      </c>
      <c r="H113" t="s">
        <v>28</v>
      </c>
      <c r="I113" s="3">
        <v>1600093</v>
      </c>
      <c r="J113">
        <v>638</v>
      </c>
      <c r="K113" t="s">
        <v>34</v>
      </c>
      <c r="L113" t="s">
        <v>30</v>
      </c>
      <c r="M113">
        <v>109</v>
      </c>
      <c r="N113" s="3">
        <v>34480.699999999997</v>
      </c>
      <c r="O113" t="s">
        <v>22</v>
      </c>
    </row>
    <row r="114" spans="1:15" x14ac:dyDescent="0.2">
      <c r="A114" t="s">
        <v>260</v>
      </c>
      <c r="B114" t="s">
        <v>261</v>
      </c>
      <c r="C114">
        <v>21</v>
      </c>
      <c r="D114" t="s">
        <v>55</v>
      </c>
      <c r="E114" t="s">
        <v>17</v>
      </c>
      <c r="F114" t="s">
        <v>27</v>
      </c>
      <c r="G114" s="2">
        <v>45875</v>
      </c>
      <c r="H114" t="s">
        <v>33</v>
      </c>
      <c r="I114" s="3">
        <v>443691</v>
      </c>
      <c r="J114">
        <v>676</v>
      </c>
      <c r="K114" t="s">
        <v>20</v>
      </c>
      <c r="L114" t="s">
        <v>21</v>
      </c>
      <c r="M114">
        <v>92</v>
      </c>
      <c r="N114" s="3">
        <v>10887.49</v>
      </c>
      <c r="O114" t="s">
        <v>22</v>
      </c>
    </row>
    <row r="115" spans="1:15" x14ac:dyDescent="0.2">
      <c r="A115" t="s">
        <v>262</v>
      </c>
      <c r="B115" t="s">
        <v>215</v>
      </c>
      <c r="C115">
        <v>28</v>
      </c>
      <c r="D115" t="s">
        <v>51</v>
      </c>
      <c r="E115" t="s">
        <v>26</v>
      </c>
      <c r="F115" t="s">
        <v>27</v>
      </c>
      <c r="G115" s="2">
        <v>46160</v>
      </c>
      <c r="H115" t="s">
        <v>33</v>
      </c>
      <c r="I115" s="3">
        <v>3834476</v>
      </c>
      <c r="J115">
        <v>728</v>
      </c>
      <c r="K115" t="s">
        <v>34</v>
      </c>
      <c r="L115" t="s">
        <v>30</v>
      </c>
      <c r="M115">
        <v>50</v>
      </c>
      <c r="N115" s="3">
        <v>27824.93</v>
      </c>
      <c r="O115" t="s">
        <v>22</v>
      </c>
    </row>
    <row r="116" spans="1:15" x14ac:dyDescent="0.2">
      <c r="A116" t="s">
        <v>263</v>
      </c>
      <c r="B116" t="s">
        <v>264</v>
      </c>
      <c r="C116">
        <v>65</v>
      </c>
      <c r="D116" t="s">
        <v>105</v>
      </c>
      <c r="E116" t="s">
        <v>17</v>
      </c>
      <c r="F116" t="s">
        <v>27</v>
      </c>
      <c r="G116" s="2">
        <v>46055</v>
      </c>
      <c r="H116" t="s">
        <v>52</v>
      </c>
      <c r="I116" s="3">
        <v>1440064</v>
      </c>
      <c r="J116">
        <v>844</v>
      </c>
      <c r="K116" t="s">
        <v>67</v>
      </c>
      <c r="L116" t="s">
        <v>30</v>
      </c>
      <c r="M116">
        <v>20</v>
      </c>
      <c r="N116" s="3">
        <v>3413.96</v>
      </c>
      <c r="O116" t="s">
        <v>22</v>
      </c>
    </row>
    <row r="117" spans="1:15" x14ac:dyDescent="0.2">
      <c r="A117" t="s">
        <v>265</v>
      </c>
      <c r="B117" t="s">
        <v>266</v>
      </c>
      <c r="C117">
        <v>43</v>
      </c>
      <c r="D117" t="s">
        <v>48</v>
      </c>
      <c r="E117" t="s">
        <v>26</v>
      </c>
      <c r="F117" t="s">
        <v>27</v>
      </c>
      <c r="G117" s="2">
        <v>46050</v>
      </c>
      <c r="H117" t="s">
        <v>28</v>
      </c>
      <c r="I117" s="3">
        <v>3215560</v>
      </c>
      <c r="J117">
        <v>588</v>
      </c>
      <c r="K117" t="s">
        <v>20</v>
      </c>
      <c r="L117" t="s">
        <v>30</v>
      </c>
      <c r="M117">
        <v>105</v>
      </c>
      <c r="N117" s="3">
        <v>4701.88</v>
      </c>
      <c r="O117" t="s">
        <v>22</v>
      </c>
    </row>
    <row r="118" spans="1:15" x14ac:dyDescent="0.2">
      <c r="A118" t="s">
        <v>267</v>
      </c>
      <c r="B118" t="s">
        <v>268</v>
      </c>
      <c r="C118">
        <v>67</v>
      </c>
      <c r="D118" t="s">
        <v>128</v>
      </c>
      <c r="E118" t="s">
        <v>17</v>
      </c>
      <c r="F118" t="s">
        <v>18</v>
      </c>
      <c r="G118" s="2">
        <v>45864</v>
      </c>
      <c r="H118" t="s">
        <v>28</v>
      </c>
      <c r="I118" s="3">
        <v>3659747</v>
      </c>
      <c r="J118">
        <v>587</v>
      </c>
      <c r="K118" t="s">
        <v>92</v>
      </c>
      <c r="L118" t="s">
        <v>45</v>
      </c>
      <c r="M118">
        <v>36</v>
      </c>
      <c r="N118" s="3">
        <v>971.38</v>
      </c>
      <c r="O118" t="s">
        <v>22</v>
      </c>
    </row>
    <row r="119" spans="1:15" x14ac:dyDescent="0.2">
      <c r="A119" t="s">
        <v>269</v>
      </c>
      <c r="B119" t="s">
        <v>138</v>
      </c>
      <c r="C119">
        <v>60</v>
      </c>
      <c r="D119" t="s">
        <v>105</v>
      </c>
      <c r="E119" t="s">
        <v>26</v>
      </c>
      <c r="F119" t="s">
        <v>100</v>
      </c>
      <c r="G119" s="2">
        <v>45672</v>
      </c>
      <c r="H119" t="s">
        <v>28</v>
      </c>
      <c r="I119" s="3">
        <v>2253146</v>
      </c>
      <c r="J119">
        <v>787</v>
      </c>
      <c r="K119" t="s">
        <v>34</v>
      </c>
      <c r="L119" t="s">
        <v>30</v>
      </c>
      <c r="M119">
        <v>117</v>
      </c>
      <c r="N119" s="3">
        <v>24843.98</v>
      </c>
      <c r="O119" t="s">
        <v>22</v>
      </c>
    </row>
    <row r="120" spans="1:15" x14ac:dyDescent="0.2">
      <c r="A120" t="s">
        <v>270</v>
      </c>
      <c r="B120" t="s">
        <v>271</v>
      </c>
      <c r="C120">
        <v>32</v>
      </c>
      <c r="D120" t="s">
        <v>75</v>
      </c>
      <c r="E120" t="s">
        <v>26</v>
      </c>
      <c r="F120" t="s">
        <v>27</v>
      </c>
      <c r="G120" s="2">
        <v>46211</v>
      </c>
      <c r="H120" t="s">
        <v>33</v>
      </c>
      <c r="I120" s="3">
        <v>2842440</v>
      </c>
      <c r="J120">
        <v>704</v>
      </c>
      <c r="K120" t="s">
        <v>78</v>
      </c>
      <c r="L120" t="s">
        <v>58</v>
      </c>
      <c r="M120">
        <v>27</v>
      </c>
      <c r="N120" s="3">
        <v>13912.57</v>
      </c>
      <c r="O120" t="s">
        <v>22</v>
      </c>
    </row>
    <row r="121" spans="1:15" x14ac:dyDescent="0.2">
      <c r="A121" t="s">
        <v>272</v>
      </c>
      <c r="B121" t="s">
        <v>175</v>
      </c>
      <c r="C121">
        <v>32</v>
      </c>
      <c r="D121" t="s">
        <v>70</v>
      </c>
      <c r="E121" t="s">
        <v>26</v>
      </c>
      <c r="F121" t="s">
        <v>18</v>
      </c>
      <c r="G121" s="2">
        <v>46118</v>
      </c>
      <c r="H121" t="s">
        <v>28</v>
      </c>
      <c r="I121" s="3">
        <v>729969</v>
      </c>
      <c r="J121">
        <v>702</v>
      </c>
      <c r="K121" t="s">
        <v>29</v>
      </c>
      <c r="L121" t="s">
        <v>38</v>
      </c>
      <c r="M121">
        <v>72</v>
      </c>
      <c r="N121" s="3">
        <v>3109.79</v>
      </c>
      <c r="O121" t="s">
        <v>22</v>
      </c>
    </row>
    <row r="122" spans="1:15" x14ac:dyDescent="0.2">
      <c r="A122" t="s">
        <v>273</v>
      </c>
      <c r="B122" t="s">
        <v>154</v>
      </c>
      <c r="C122">
        <v>66</v>
      </c>
      <c r="D122" t="s">
        <v>75</v>
      </c>
      <c r="E122" t="s">
        <v>26</v>
      </c>
      <c r="F122" t="s">
        <v>100</v>
      </c>
      <c r="G122" s="2">
        <v>46232</v>
      </c>
      <c r="H122" t="s">
        <v>33</v>
      </c>
      <c r="I122" s="3">
        <v>2741721</v>
      </c>
      <c r="J122">
        <v>612</v>
      </c>
      <c r="K122" t="s">
        <v>57</v>
      </c>
      <c r="L122" t="s">
        <v>30</v>
      </c>
      <c r="M122">
        <v>32</v>
      </c>
      <c r="N122" s="3">
        <v>1427.46</v>
      </c>
      <c r="O122" t="s">
        <v>22</v>
      </c>
    </row>
    <row r="123" spans="1:15" x14ac:dyDescent="0.2">
      <c r="A123" t="s">
        <v>274</v>
      </c>
      <c r="B123" t="s">
        <v>60</v>
      </c>
      <c r="C123">
        <v>67</v>
      </c>
      <c r="D123" t="s">
        <v>55</v>
      </c>
      <c r="E123" t="s">
        <v>56</v>
      </c>
      <c r="F123" t="s">
        <v>18</v>
      </c>
      <c r="G123" s="2">
        <v>45898</v>
      </c>
      <c r="H123" t="s">
        <v>44</v>
      </c>
      <c r="I123" s="3">
        <v>932346</v>
      </c>
      <c r="J123">
        <v>580</v>
      </c>
      <c r="K123" t="s">
        <v>67</v>
      </c>
      <c r="L123" t="s">
        <v>30</v>
      </c>
      <c r="M123">
        <v>1</v>
      </c>
      <c r="N123" s="3">
        <v>12038.97</v>
      </c>
      <c r="O123" t="s">
        <v>22</v>
      </c>
    </row>
    <row r="124" spans="1:15" x14ac:dyDescent="0.2">
      <c r="A124" t="s">
        <v>275</v>
      </c>
      <c r="B124" t="s">
        <v>276</v>
      </c>
      <c r="C124">
        <v>35</v>
      </c>
      <c r="D124" t="s">
        <v>16</v>
      </c>
      <c r="E124" t="s">
        <v>26</v>
      </c>
      <c r="F124" t="s">
        <v>27</v>
      </c>
      <c r="G124" s="2">
        <v>46221</v>
      </c>
      <c r="H124" t="s">
        <v>44</v>
      </c>
      <c r="I124" s="3">
        <v>1254411</v>
      </c>
      <c r="J124">
        <v>783</v>
      </c>
      <c r="K124" t="s">
        <v>29</v>
      </c>
      <c r="L124" t="s">
        <v>30</v>
      </c>
      <c r="M124">
        <v>17</v>
      </c>
      <c r="N124" s="3">
        <v>52039.18</v>
      </c>
      <c r="O124" t="s">
        <v>22</v>
      </c>
    </row>
    <row r="125" spans="1:15" x14ac:dyDescent="0.2">
      <c r="A125" t="s">
        <v>277</v>
      </c>
      <c r="B125" t="s">
        <v>138</v>
      </c>
      <c r="C125">
        <v>61</v>
      </c>
      <c r="D125" t="s">
        <v>75</v>
      </c>
      <c r="E125" t="s">
        <v>83</v>
      </c>
      <c r="F125" t="s">
        <v>100</v>
      </c>
      <c r="G125" s="2">
        <v>45753</v>
      </c>
      <c r="H125" t="s">
        <v>28</v>
      </c>
      <c r="I125" s="3">
        <v>3181659</v>
      </c>
      <c r="J125">
        <v>585</v>
      </c>
      <c r="K125" t="s">
        <v>29</v>
      </c>
      <c r="L125" t="s">
        <v>58</v>
      </c>
      <c r="M125">
        <v>9</v>
      </c>
      <c r="N125" s="3">
        <v>7747.62</v>
      </c>
      <c r="O125" t="s">
        <v>22</v>
      </c>
    </row>
    <row r="126" spans="1:15" x14ac:dyDescent="0.2">
      <c r="A126" t="s">
        <v>278</v>
      </c>
      <c r="B126" t="s">
        <v>279</v>
      </c>
      <c r="C126">
        <v>39</v>
      </c>
      <c r="D126" t="s">
        <v>75</v>
      </c>
      <c r="E126" t="s">
        <v>83</v>
      </c>
      <c r="F126" t="s">
        <v>27</v>
      </c>
      <c r="G126" s="2">
        <v>46142</v>
      </c>
      <c r="H126" t="s">
        <v>28</v>
      </c>
      <c r="I126" s="3">
        <v>449542</v>
      </c>
      <c r="J126">
        <v>584</v>
      </c>
      <c r="K126" t="s">
        <v>86</v>
      </c>
      <c r="L126" t="s">
        <v>30</v>
      </c>
      <c r="M126">
        <v>84</v>
      </c>
      <c r="N126" s="3">
        <v>4485.62</v>
      </c>
      <c r="O126" t="s">
        <v>22</v>
      </c>
    </row>
    <row r="127" spans="1:15" x14ac:dyDescent="0.2">
      <c r="A127" t="s">
        <v>280</v>
      </c>
      <c r="B127" t="s">
        <v>281</v>
      </c>
      <c r="C127">
        <v>46</v>
      </c>
      <c r="D127" t="s">
        <v>51</v>
      </c>
      <c r="E127" t="s">
        <v>17</v>
      </c>
      <c r="F127" t="s">
        <v>27</v>
      </c>
      <c r="G127" s="2">
        <v>46064</v>
      </c>
      <c r="H127" t="s">
        <v>28</v>
      </c>
      <c r="I127" s="3">
        <v>1970342</v>
      </c>
      <c r="J127">
        <v>659</v>
      </c>
      <c r="K127" t="s">
        <v>67</v>
      </c>
      <c r="L127" t="s">
        <v>30</v>
      </c>
      <c r="M127">
        <v>45</v>
      </c>
      <c r="N127" s="3">
        <v>3347.84</v>
      </c>
      <c r="O127" t="s">
        <v>22</v>
      </c>
    </row>
    <row r="128" spans="1:15" x14ac:dyDescent="0.2">
      <c r="A128" t="s">
        <v>282</v>
      </c>
      <c r="B128" t="s">
        <v>228</v>
      </c>
      <c r="C128">
        <v>49</v>
      </c>
      <c r="D128" t="s">
        <v>55</v>
      </c>
      <c r="E128" t="s">
        <v>26</v>
      </c>
      <c r="F128" t="s">
        <v>27</v>
      </c>
      <c r="G128" s="2">
        <v>45888</v>
      </c>
      <c r="H128" t="s">
        <v>33</v>
      </c>
      <c r="I128" s="3">
        <v>3733802</v>
      </c>
      <c r="J128">
        <v>756</v>
      </c>
      <c r="K128" t="s">
        <v>67</v>
      </c>
      <c r="L128" t="s">
        <v>38</v>
      </c>
      <c r="M128">
        <v>96</v>
      </c>
      <c r="N128" s="3">
        <v>33250.199999999997</v>
      </c>
      <c r="O128" t="s">
        <v>22</v>
      </c>
    </row>
    <row r="129" spans="1:15" x14ac:dyDescent="0.2">
      <c r="A129" t="s">
        <v>283</v>
      </c>
      <c r="B129" t="s">
        <v>185</v>
      </c>
      <c r="C129">
        <v>42</v>
      </c>
      <c r="D129" t="s">
        <v>105</v>
      </c>
      <c r="E129" t="s">
        <v>26</v>
      </c>
      <c r="F129" t="s">
        <v>43</v>
      </c>
      <c r="G129" s="2">
        <v>45828</v>
      </c>
      <c r="H129" t="s">
        <v>44</v>
      </c>
      <c r="I129" s="3">
        <v>2069833</v>
      </c>
      <c r="J129">
        <v>715</v>
      </c>
      <c r="K129" t="s">
        <v>20</v>
      </c>
      <c r="L129" t="s">
        <v>58</v>
      </c>
      <c r="M129">
        <v>66</v>
      </c>
      <c r="N129" s="3">
        <v>3951.26</v>
      </c>
      <c r="O129" t="s">
        <v>22</v>
      </c>
    </row>
    <row r="130" spans="1:15" x14ac:dyDescent="0.2">
      <c r="A130" t="s">
        <v>284</v>
      </c>
      <c r="B130" t="s">
        <v>285</v>
      </c>
      <c r="C130">
        <v>60</v>
      </c>
      <c r="D130" t="s">
        <v>16</v>
      </c>
      <c r="E130" t="s">
        <v>56</v>
      </c>
      <c r="F130" t="s">
        <v>27</v>
      </c>
      <c r="G130" s="2">
        <v>46198</v>
      </c>
      <c r="H130" t="s">
        <v>28</v>
      </c>
      <c r="I130" s="3">
        <v>2200500</v>
      </c>
      <c r="J130">
        <v>604</v>
      </c>
      <c r="K130" t="s">
        <v>86</v>
      </c>
      <c r="L130" t="s">
        <v>58</v>
      </c>
      <c r="M130">
        <v>32</v>
      </c>
      <c r="N130" s="3">
        <v>6064.83</v>
      </c>
      <c r="O130" t="s">
        <v>22</v>
      </c>
    </row>
    <row r="131" spans="1:15" x14ac:dyDescent="0.2">
      <c r="A131" t="s">
        <v>286</v>
      </c>
      <c r="B131" t="s">
        <v>287</v>
      </c>
      <c r="C131">
        <v>41</v>
      </c>
      <c r="D131" t="s">
        <v>42</v>
      </c>
      <c r="E131" t="s">
        <v>26</v>
      </c>
      <c r="F131" t="s">
        <v>27</v>
      </c>
      <c r="G131" s="2">
        <v>45693</v>
      </c>
      <c r="H131" t="s">
        <v>28</v>
      </c>
      <c r="I131" s="3">
        <v>4334032</v>
      </c>
      <c r="J131">
        <v>762</v>
      </c>
      <c r="K131" t="s">
        <v>92</v>
      </c>
      <c r="L131" t="s">
        <v>30</v>
      </c>
      <c r="M131">
        <v>45</v>
      </c>
      <c r="N131" s="3">
        <v>26737.48</v>
      </c>
      <c r="O131" t="s">
        <v>22</v>
      </c>
    </row>
    <row r="132" spans="1:15" x14ac:dyDescent="0.2">
      <c r="A132" t="s">
        <v>288</v>
      </c>
      <c r="B132" t="s">
        <v>289</v>
      </c>
      <c r="C132">
        <v>58</v>
      </c>
      <c r="D132" t="s">
        <v>128</v>
      </c>
      <c r="E132" t="s">
        <v>26</v>
      </c>
      <c r="F132" t="s">
        <v>27</v>
      </c>
      <c r="G132" s="2">
        <v>46182</v>
      </c>
      <c r="H132" t="s">
        <v>44</v>
      </c>
      <c r="I132" s="3">
        <v>1473045</v>
      </c>
      <c r="J132">
        <v>747</v>
      </c>
      <c r="K132" t="s">
        <v>57</v>
      </c>
      <c r="L132" t="s">
        <v>58</v>
      </c>
      <c r="M132">
        <v>9</v>
      </c>
      <c r="N132" s="3">
        <v>17489.490000000002</v>
      </c>
      <c r="O132" t="s">
        <v>22</v>
      </c>
    </row>
    <row r="133" spans="1:15" x14ac:dyDescent="0.2">
      <c r="A133" t="s">
        <v>290</v>
      </c>
      <c r="B133" t="s">
        <v>291</v>
      </c>
      <c r="C133">
        <v>40</v>
      </c>
      <c r="D133" t="s">
        <v>89</v>
      </c>
      <c r="E133" t="s">
        <v>17</v>
      </c>
      <c r="F133" t="s">
        <v>18</v>
      </c>
      <c r="G133" s="2">
        <v>45817</v>
      </c>
      <c r="H133" t="s">
        <v>44</v>
      </c>
      <c r="I133" s="3">
        <v>3154936</v>
      </c>
      <c r="J133">
        <v>757</v>
      </c>
      <c r="K133" t="s">
        <v>92</v>
      </c>
      <c r="L133" t="s">
        <v>21</v>
      </c>
      <c r="M133">
        <v>30</v>
      </c>
      <c r="N133" s="3">
        <v>6313.5</v>
      </c>
      <c r="O133" t="s">
        <v>22</v>
      </c>
    </row>
    <row r="134" spans="1:15" x14ac:dyDescent="0.2">
      <c r="A134" t="s">
        <v>292</v>
      </c>
      <c r="B134" t="s">
        <v>293</v>
      </c>
      <c r="C134">
        <v>49</v>
      </c>
      <c r="D134" t="s">
        <v>48</v>
      </c>
      <c r="E134" t="s">
        <v>56</v>
      </c>
      <c r="F134" t="s">
        <v>18</v>
      </c>
      <c r="G134" s="2">
        <v>45900</v>
      </c>
      <c r="H134" t="s">
        <v>28</v>
      </c>
      <c r="I134" s="3">
        <v>2186983</v>
      </c>
      <c r="J134">
        <v>674</v>
      </c>
      <c r="K134" t="s">
        <v>78</v>
      </c>
      <c r="L134" t="s">
        <v>58</v>
      </c>
      <c r="M134">
        <v>84</v>
      </c>
      <c r="N134" s="3">
        <v>4298.7299999999996</v>
      </c>
      <c r="O134" t="s">
        <v>22</v>
      </c>
    </row>
    <row r="135" spans="1:15" x14ac:dyDescent="0.2">
      <c r="A135" t="s">
        <v>294</v>
      </c>
      <c r="B135" t="s">
        <v>253</v>
      </c>
      <c r="C135">
        <v>24</v>
      </c>
      <c r="D135" t="s">
        <v>75</v>
      </c>
      <c r="E135" t="s">
        <v>56</v>
      </c>
      <c r="F135" t="s">
        <v>27</v>
      </c>
      <c r="G135" s="2">
        <v>45743</v>
      </c>
      <c r="H135" t="s">
        <v>33</v>
      </c>
      <c r="I135" s="3">
        <v>1654568</v>
      </c>
      <c r="J135">
        <v>612</v>
      </c>
      <c r="K135" t="s">
        <v>57</v>
      </c>
      <c r="L135" t="s">
        <v>58</v>
      </c>
      <c r="M135">
        <v>38</v>
      </c>
      <c r="N135" s="3">
        <v>41725.06</v>
      </c>
      <c r="O135" t="s">
        <v>22</v>
      </c>
    </row>
    <row r="136" spans="1:15" x14ac:dyDescent="0.2">
      <c r="A136" t="s">
        <v>295</v>
      </c>
      <c r="B136" t="s">
        <v>296</v>
      </c>
      <c r="C136">
        <v>27</v>
      </c>
      <c r="D136" t="s">
        <v>55</v>
      </c>
      <c r="E136" t="s">
        <v>26</v>
      </c>
      <c r="F136" t="s">
        <v>18</v>
      </c>
      <c r="G136" s="2">
        <v>46235</v>
      </c>
      <c r="H136" t="s">
        <v>28</v>
      </c>
      <c r="I136" s="3">
        <v>1010956</v>
      </c>
      <c r="J136">
        <v>690</v>
      </c>
      <c r="K136" t="s">
        <v>86</v>
      </c>
      <c r="L136" t="s">
        <v>58</v>
      </c>
      <c r="M136">
        <v>60</v>
      </c>
      <c r="N136" s="3">
        <v>2773.35</v>
      </c>
      <c r="O136" t="s">
        <v>22</v>
      </c>
    </row>
    <row r="137" spans="1:15" x14ac:dyDescent="0.2">
      <c r="A137" t="s">
        <v>297</v>
      </c>
      <c r="B137" t="s">
        <v>223</v>
      </c>
      <c r="C137">
        <v>48</v>
      </c>
      <c r="D137" t="s">
        <v>89</v>
      </c>
      <c r="E137" t="s">
        <v>17</v>
      </c>
      <c r="F137" t="s">
        <v>18</v>
      </c>
      <c r="G137" s="2">
        <v>46214</v>
      </c>
      <c r="H137" t="s">
        <v>28</v>
      </c>
      <c r="I137" s="3">
        <v>3804382</v>
      </c>
      <c r="J137">
        <v>725</v>
      </c>
      <c r="K137" t="s">
        <v>34</v>
      </c>
      <c r="L137" t="s">
        <v>45</v>
      </c>
      <c r="M137">
        <v>1</v>
      </c>
      <c r="N137" s="3">
        <v>7181.05</v>
      </c>
      <c r="O137" t="s">
        <v>22</v>
      </c>
    </row>
    <row r="138" spans="1:15" x14ac:dyDescent="0.2">
      <c r="A138" t="s">
        <v>298</v>
      </c>
      <c r="B138" t="s">
        <v>299</v>
      </c>
      <c r="C138">
        <v>48</v>
      </c>
      <c r="D138" t="s">
        <v>48</v>
      </c>
      <c r="E138" t="s">
        <v>26</v>
      </c>
      <c r="F138" t="s">
        <v>18</v>
      </c>
      <c r="G138" s="2">
        <v>46231</v>
      </c>
      <c r="H138" t="s">
        <v>44</v>
      </c>
      <c r="I138" s="3">
        <v>3938498</v>
      </c>
      <c r="J138">
        <v>810</v>
      </c>
      <c r="K138" t="s">
        <v>34</v>
      </c>
      <c r="L138" t="s">
        <v>45</v>
      </c>
      <c r="M138">
        <v>5</v>
      </c>
      <c r="N138" s="3">
        <v>1842.41</v>
      </c>
      <c r="O138" t="s">
        <v>22</v>
      </c>
    </row>
    <row r="139" spans="1:15" x14ac:dyDescent="0.2">
      <c r="A139" t="s">
        <v>300</v>
      </c>
      <c r="B139" t="s">
        <v>230</v>
      </c>
      <c r="C139">
        <v>24</v>
      </c>
      <c r="D139" t="s">
        <v>48</v>
      </c>
      <c r="E139" t="s">
        <v>26</v>
      </c>
      <c r="F139" t="s">
        <v>27</v>
      </c>
      <c r="G139" s="2">
        <v>45685</v>
      </c>
      <c r="H139" t="s">
        <v>44</v>
      </c>
      <c r="I139" s="3">
        <v>749964</v>
      </c>
      <c r="J139">
        <v>617</v>
      </c>
      <c r="K139" t="s">
        <v>86</v>
      </c>
      <c r="L139" t="s">
        <v>45</v>
      </c>
      <c r="M139">
        <v>63</v>
      </c>
      <c r="N139" s="3">
        <v>31204.28</v>
      </c>
      <c r="O139" t="s">
        <v>39</v>
      </c>
    </row>
    <row r="140" spans="1:15" x14ac:dyDescent="0.2">
      <c r="A140" t="s">
        <v>301</v>
      </c>
      <c r="B140" t="s">
        <v>244</v>
      </c>
      <c r="C140">
        <v>42</v>
      </c>
      <c r="D140" t="s">
        <v>42</v>
      </c>
      <c r="E140" t="s">
        <v>56</v>
      </c>
      <c r="F140" t="s">
        <v>18</v>
      </c>
      <c r="G140" s="2">
        <v>46213</v>
      </c>
      <c r="H140" t="s">
        <v>52</v>
      </c>
      <c r="I140" s="3">
        <v>3247493</v>
      </c>
      <c r="J140">
        <v>714</v>
      </c>
      <c r="K140" t="s">
        <v>92</v>
      </c>
      <c r="L140" t="s">
        <v>58</v>
      </c>
      <c r="M140">
        <v>99</v>
      </c>
      <c r="N140" s="3">
        <v>5439.11</v>
      </c>
      <c r="O140" t="s">
        <v>22</v>
      </c>
    </row>
    <row r="141" spans="1:15" x14ac:dyDescent="0.2">
      <c r="A141" t="s">
        <v>302</v>
      </c>
      <c r="B141" t="s">
        <v>303</v>
      </c>
      <c r="C141">
        <v>32</v>
      </c>
      <c r="D141" t="s">
        <v>42</v>
      </c>
      <c r="E141" t="s">
        <v>26</v>
      </c>
      <c r="F141" t="s">
        <v>100</v>
      </c>
      <c r="G141" s="2">
        <v>45997</v>
      </c>
      <c r="H141" t="s">
        <v>28</v>
      </c>
      <c r="I141" s="3">
        <v>1049458</v>
      </c>
      <c r="J141">
        <v>814</v>
      </c>
      <c r="K141" t="s">
        <v>86</v>
      </c>
      <c r="L141" t="s">
        <v>21</v>
      </c>
      <c r="M141">
        <v>36</v>
      </c>
      <c r="N141" s="3">
        <v>4295.8</v>
      </c>
      <c r="O141" t="s">
        <v>22</v>
      </c>
    </row>
    <row r="142" spans="1:15" x14ac:dyDescent="0.2">
      <c r="A142" t="s">
        <v>304</v>
      </c>
      <c r="B142" t="s">
        <v>305</v>
      </c>
      <c r="C142">
        <v>65</v>
      </c>
      <c r="D142" t="s">
        <v>42</v>
      </c>
      <c r="E142" t="s">
        <v>26</v>
      </c>
      <c r="F142" t="s">
        <v>18</v>
      </c>
      <c r="G142" s="2">
        <v>45988</v>
      </c>
      <c r="H142" t="s">
        <v>44</v>
      </c>
      <c r="I142" s="3">
        <v>255435</v>
      </c>
      <c r="J142">
        <v>739</v>
      </c>
      <c r="K142" t="s">
        <v>86</v>
      </c>
      <c r="L142" t="s">
        <v>58</v>
      </c>
      <c r="M142">
        <v>65</v>
      </c>
      <c r="N142" s="3">
        <v>17939.240000000002</v>
      </c>
      <c r="O142" t="s">
        <v>22</v>
      </c>
    </row>
    <row r="143" spans="1:15" x14ac:dyDescent="0.2">
      <c r="A143" t="s">
        <v>306</v>
      </c>
      <c r="B143" t="s">
        <v>307</v>
      </c>
      <c r="C143">
        <v>23</v>
      </c>
      <c r="D143" t="s">
        <v>37</v>
      </c>
      <c r="E143" t="s">
        <v>26</v>
      </c>
      <c r="F143" t="s">
        <v>27</v>
      </c>
      <c r="G143" s="2">
        <v>46163</v>
      </c>
      <c r="H143" t="s">
        <v>28</v>
      </c>
      <c r="I143" s="3">
        <v>389565</v>
      </c>
      <c r="J143">
        <v>617</v>
      </c>
      <c r="K143" t="s">
        <v>29</v>
      </c>
      <c r="L143" t="s">
        <v>30</v>
      </c>
      <c r="M143">
        <v>78</v>
      </c>
      <c r="N143" s="3">
        <v>2004.62</v>
      </c>
      <c r="O143" t="s">
        <v>22</v>
      </c>
    </row>
    <row r="144" spans="1:15" x14ac:dyDescent="0.2">
      <c r="A144" t="s">
        <v>308</v>
      </c>
      <c r="B144" t="s">
        <v>309</v>
      </c>
      <c r="C144">
        <v>42</v>
      </c>
      <c r="D144" t="s">
        <v>25</v>
      </c>
      <c r="E144" t="s">
        <v>56</v>
      </c>
      <c r="F144" t="s">
        <v>43</v>
      </c>
      <c r="G144" s="2">
        <v>46005</v>
      </c>
      <c r="H144" t="s">
        <v>28</v>
      </c>
      <c r="I144" s="3">
        <v>3192905</v>
      </c>
      <c r="J144">
        <v>729</v>
      </c>
      <c r="K144" t="s">
        <v>78</v>
      </c>
      <c r="L144" t="s">
        <v>21</v>
      </c>
      <c r="M144">
        <v>73</v>
      </c>
      <c r="N144" s="3">
        <v>17450.97</v>
      </c>
      <c r="O144" t="s">
        <v>22</v>
      </c>
    </row>
    <row r="145" spans="1:15" x14ac:dyDescent="0.2">
      <c r="A145" t="s">
        <v>310</v>
      </c>
      <c r="B145" t="s">
        <v>311</v>
      </c>
      <c r="C145">
        <v>64</v>
      </c>
      <c r="D145" t="s">
        <v>25</v>
      </c>
      <c r="E145" t="s">
        <v>56</v>
      </c>
      <c r="F145" t="s">
        <v>43</v>
      </c>
      <c r="G145" s="2">
        <v>46130</v>
      </c>
      <c r="H145" t="s">
        <v>33</v>
      </c>
      <c r="I145" s="3">
        <v>3678261</v>
      </c>
      <c r="J145">
        <v>608</v>
      </c>
      <c r="K145" t="s">
        <v>67</v>
      </c>
      <c r="L145" t="s">
        <v>45</v>
      </c>
      <c r="M145">
        <v>94</v>
      </c>
      <c r="N145" s="3">
        <v>6132.94</v>
      </c>
      <c r="O145" t="s">
        <v>22</v>
      </c>
    </row>
    <row r="146" spans="1:15" x14ac:dyDescent="0.2">
      <c r="A146" t="s">
        <v>312</v>
      </c>
      <c r="B146" t="s">
        <v>313</v>
      </c>
      <c r="C146">
        <v>22</v>
      </c>
      <c r="D146" t="s">
        <v>48</v>
      </c>
      <c r="E146" t="s">
        <v>17</v>
      </c>
      <c r="F146" t="s">
        <v>43</v>
      </c>
      <c r="G146" s="2">
        <v>45888</v>
      </c>
      <c r="H146" t="s">
        <v>28</v>
      </c>
      <c r="I146" s="3">
        <v>1577654</v>
      </c>
      <c r="J146">
        <v>723</v>
      </c>
      <c r="K146" t="s">
        <v>34</v>
      </c>
      <c r="L146" t="s">
        <v>38</v>
      </c>
      <c r="M146">
        <v>24</v>
      </c>
      <c r="N146" s="3">
        <v>2526.11</v>
      </c>
      <c r="O146" t="s">
        <v>22</v>
      </c>
    </row>
    <row r="147" spans="1:15" x14ac:dyDescent="0.2">
      <c r="A147" t="s">
        <v>314</v>
      </c>
      <c r="B147" t="s">
        <v>315</v>
      </c>
      <c r="C147">
        <v>44</v>
      </c>
      <c r="D147" t="s">
        <v>42</v>
      </c>
      <c r="E147" t="s">
        <v>56</v>
      </c>
      <c r="F147" t="s">
        <v>27</v>
      </c>
      <c r="G147" s="2">
        <v>45847</v>
      </c>
      <c r="H147" t="s">
        <v>52</v>
      </c>
      <c r="I147" s="3">
        <v>2877014</v>
      </c>
      <c r="J147">
        <v>655</v>
      </c>
      <c r="K147" t="s">
        <v>29</v>
      </c>
      <c r="L147" t="s">
        <v>21</v>
      </c>
      <c r="M147">
        <v>4</v>
      </c>
      <c r="N147" s="3">
        <v>3166</v>
      </c>
      <c r="O147" t="s">
        <v>22</v>
      </c>
    </row>
    <row r="148" spans="1:15" x14ac:dyDescent="0.2">
      <c r="A148" t="s">
        <v>316</v>
      </c>
      <c r="B148" t="s">
        <v>150</v>
      </c>
      <c r="C148">
        <v>54</v>
      </c>
      <c r="D148" t="s">
        <v>51</v>
      </c>
      <c r="E148" t="s">
        <v>26</v>
      </c>
      <c r="F148" t="s">
        <v>27</v>
      </c>
      <c r="G148" s="2">
        <v>45882</v>
      </c>
      <c r="H148" t="s">
        <v>33</v>
      </c>
      <c r="I148" s="3">
        <v>2389934</v>
      </c>
      <c r="J148">
        <v>724</v>
      </c>
      <c r="K148" t="s">
        <v>86</v>
      </c>
      <c r="L148" t="s">
        <v>45</v>
      </c>
      <c r="M148">
        <v>114</v>
      </c>
      <c r="N148" s="3">
        <v>4365.9399999999996</v>
      </c>
      <c r="O148" t="s">
        <v>22</v>
      </c>
    </row>
    <row r="149" spans="1:15" x14ac:dyDescent="0.2">
      <c r="A149" t="s">
        <v>317</v>
      </c>
      <c r="B149" t="s">
        <v>318</v>
      </c>
      <c r="C149">
        <v>47</v>
      </c>
      <c r="D149" t="s">
        <v>75</v>
      </c>
      <c r="E149" t="s">
        <v>26</v>
      </c>
      <c r="F149" t="s">
        <v>18</v>
      </c>
      <c r="G149" s="2">
        <v>46042</v>
      </c>
      <c r="H149" t="s">
        <v>28</v>
      </c>
      <c r="I149" s="3">
        <v>697628</v>
      </c>
      <c r="J149">
        <v>808</v>
      </c>
      <c r="K149" t="s">
        <v>20</v>
      </c>
      <c r="L149" t="s">
        <v>21</v>
      </c>
      <c r="M149">
        <v>78</v>
      </c>
      <c r="N149" s="3">
        <v>5618.13</v>
      </c>
      <c r="O149" t="s">
        <v>22</v>
      </c>
    </row>
    <row r="150" spans="1:15" x14ac:dyDescent="0.2">
      <c r="A150" t="s">
        <v>319</v>
      </c>
      <c r="B150" t="s">
        <v>74</v>
      </c>
      <c r="C150">
        <v>61</v>
      </c>
      <c r="D150" t="s">
        <v>89</v>
      </c>
      <c r="E150" t="s">
        <v>26</v>
      </c>
      <c r="F150" t="s">
        <v>18</v>
      </c>
      <c r="G150" s="2">
        <v>46034</v>
      </c>
      <c r="H150" t="s">
        <v>28</v>
      </c>
      <c r="I150" s="3">
        <v>2817592</v>
      </c>
      <c r="J150">
        <v>643</v>
      </c>
      <c r="K150" t="s">
        <v>29</v>
      </c>
      <c r="L150" t="s">
        <v>21</v>
      </c>
      <c r="M150">
        <v>89</v>
      </c>
      <c r="N150" s="3">
        <v>2544.14</v>
      </c>
      <c r="O150" t="s">
        <v>22</v>
      </c>
    </row>
    <row r="151" spans="1:15" x14ac:dyDescent="0.2">
      <c r="A151" t="s">
        <v>320</v>
      </c>
      <c r="B151" t="s">
        <v>321</v>
      </c>
      <c r="C151">
        <v>21</v>
      </c>
      <c r="D151" t="s">
        <v>89</v>
      </c>
      <c r="E151" t="s">
        <v>26</v>
      </c>
      <c r="F151" t="s">
        <v>27</v>
      </c>
      <c r="G151" s="2">
        <v>45940</v>
      </c>
      <c r="H151" t="s">
        <v>28</v>
      </c>
      <c r="I151" s="3">
        <v>3269065</v>
      </c>
      <c r="J151">
        <v>848</v>
      </c>
      <c r="K151" t="s">
        <v>86</v>
      </c>
      <c r="L151" t="s">
        <v>58</v>
      </c>
      <c r="M151">
        <v>68</v>
      </c>
      <c r="N151" s="3">
        <v>12200.62</v>
      </c>
      <c r="O151" t="s">
        <v>22</v>
      </c>
    </row>
    <row r="152" spans="1:15" x14ac:dyDescent="0.2">
      <c r="A152" t="s">
        <v>322</v>
      </c>
      <c r="B152" t="s">
        <v>323</v>
      </c>
      <c r="C152">
        <v>28</v>
      </c>
      <c r="D152" t="s">
        <v>25</v>
      </c>
      <c r="E152" t="s">
        <v>26</v>
      </c>
      <c r="F152" t="s">
        <v>100</v>
      </c>
      <c r="G152" s="2">
        <v>45916</v>
      </c>
      <c r="H152" t="s">
        <v>28</v>
      </c>
      <c r="I152" s="3">
        <v>4309319</v>
      </c>
      <c r="J152">
        <v>763</v>
      </c>
      <c r="K152" t="s">
        <v>34</v>
      </c>
      <c r="L152" t="s">
        <v>30</v>
      </c>
      <c r="M152">
        <v>25</v>
      </c>
      <c r="N152" s="3">
        <v>2475.11</v>
      </c>
      <c r="O152" t="s">
        <v>22</v>
      </c>
    </row>
    <row r="153" spans="1:15" x14ac:dyDescent="0.2">
      <c r="A153" t="s">
        <v>324</v>
      </c>
      <c r="B153" t="s">
        <v>325</v>
      </c>
      <c r="C153">
        <v>43</v>
      </c>
      <c r="D153" t="s">
        <v>48</v>
      </c>
      <c r="E153" t="s">
        <v>83</v>
      </c>
      <c r="F153" t="s">
        <v>27</v>
      </c>
      <c r="G153" s="2">
        <v>46016</v>
      </c>
      <c r="H153" t="s">
        <v>33</v>
      </c>
      <c r="I153" s="3">
        <v>714535</v>
      </c>
      <c r="J153">
        <v>840</v>
      </c>
      <c r="K153" t="s">
        <v>67</v>
      </c>
      <c r="L153" t="s">
        <v>38</v>
      </c>
      <c r="M153">
        <v>74</v>
      </c>
      <c r="N153" s="3">
        <v>747.42</v>
      </c>
      <c r="O153" t="s">
        <v>22</v>
      </c>
    </row>
    <row r="154" spans="1:15" x14ac:dyDescent="0.2">
      <c r="A154" t="s">
        <v>326</v>
      </c>
      <c r="B154" t="s">
        <v>327</v>
      </c>
      <c r="C154">
        <v>58</v>
      </c>
      <c r="D154" t="s">
        <v>55</v>
      </c>
      <c r="E154" t="s">
        <v>26</v>
      </c>
      <c r="F154" t="s">
        <v>18</v>
      </c>
      <c r="G154" s="2">
        <v>46113</v>
      </c>
      <c r="H154" t="s">
        <v>44</v>
      </c>
      <c r="I154" s="3">
        <v>2898191</v>
      </c>
      <c r="J154">
        <v>847</v>
      </c>
      <c r="K154" t="s">
        <v>86</v>
      </c>
      <c r="L154" t="s">
        <v>45</v>
      </c>
      <c r="M154">
        <v>99</v>
      </c>
      <c r="N154" s="3">
        <v>67211.570000000007</v>
      </c>
      <c r="O154" t="s">
        <v>39</v>
      </c>
    </row>
    <row r="155" spans="1:15" x14ac:dyDescent="0.2">
      <c r="A155" t="s">
        <v>328</v>
      </c>
      <c r="B155" t="s">
        <v>140</v>
      </c>
      <c r="C155">
        <v>26</v>
      </c>
      <c r="D155" t="s">
        <v>105</v>
      </c>
      <c r="E155" t="s">
        <v>26</v>
      </c>
      <c r="F155" t="s">
        <v>18</v>
      </c>
      <c r="G155" s="2">
        <v>46068</v>
      </c>
      <c r="H155" t="s">
        <v>28</v>
      </c>
      <c r="I155" s="3">
        <v>1598894</v>
      </c>
      <c r="J155">
        <v>748</v>
      </c>
      <c r="K155" t="s">
        <v>78</v>
      </c>
      <c r="L155" t="s">
        <v>21</v>
      </c>
      <c r="M155">
        <v>119</v>
      </c>
      <c r="N155" s="3">
        <v>11023.93</v>
      </c>
      <c r="O155" t="s">
        <v>22</v>
      </c>
    </row>
    <row r="156" spans="1:15" x14ac:dyDescent="0.2">
      <c r="A156" t="s">
        <v>329</v>
      </c>
      <c r="B156" t="s">
        <v>330</v>
      </c>
      <c r="C156">
        <v>42</v>
      </c>
      <c r="D156" t="s">
        <v>105</v>
      </c>
      <c r="E156" t="s">
        <v>26</v>
      </c>
      <c r="F156" t="s">
        <v>18</v>
      </c>
      <c r="G156" s="2">
        <v>45975</v>
      </c>
      <c r="H156" t="s">
        <v>28</v>
      </c>
      <c r="I156" s="3">
        <v>306572</v>
      </c>
      <c r="J156">
        <v>838</v>
      </c>
      <c r="K156" t="s">
        <v>92</v>
      </c>
      <c r="L156" t="s">
        <v>38</v>
      </c>
      <c r="M156">
        <v>7</v>
      </c>
      <c r="N156" s="3">
        <v>73862.92</v>
      </c>
      <c r="O156" t="s">
        <v>22</v>
      </c>
    </row>
    <row r="157" spans="1:15" x14ac:dyDescent="0.2">
      <c r="A157" t="s">
        <v>331</v>
      </c>
      <c r="B157" t="s">
        <v>332</v>
      </c>
      <c r="C157">
        <v>45</v>
      </c>
      <c r="D157" t="s">
        <v>25</v>
      </c>
      <c r="E157" t="s">
        <v>26</v>
      </c>
      <c r="F157" t="s">
        <v>100</v>
      </c>
      <c r="G157" s="2">
        <v>45882</v>
      </c>
      <c r="H157" t="s">
        <v>33</v>
      </c>
      <c r="I157" s="3">
        <v>3800985</v>
      </c>
      <c r="J157">
        <v>806</v>
      </c>
      <c r="K157" t="s">
        <v>57</v>
      </c>
      <c r="L157" t="s">
        <v>21</v>
      </c>
      <c r="M157">
        <v>106</v>
      </c>
      <c r="N157" s="3">
        <v>2993.38</v>
      </c>
      <c r="O157" t="s">
        <v>22</v>
      </c>
    </row>
    <row r="158" spans="1:15" x14ac:dyDescent="0.2">
      <c r="A158" t="s">
        <v>333</v>
      </c>
      <c r="B158" t="s">
        <v>134</v>
      </c>
      <c r="C158">
        <v>38</v>
      </c>
      <c r="D158" t="s">
        <v>55</v>
      </c>
      <c r="E158" t="s">
        <v>56</v>
      </c>
      <c r="F158" t="s">
        <v>27</v>
      </c>
      <c r="G158" s="2">
        <v>45891</v>
      </c>
      <c r="H158" t="s">
        <v>52</v>
      </c>
      <c r="I158" s="3">
        <v>2763595</v>
      </c>
      <c r="J158">
        <v>612</v>
      </c>
      <c r="K158" t="s">
        <v>29</v>
      </c>
      <c r="L158" t="s">
        <v>30</v>
      </c>
      <c r="M158">
        <v>13</v>
      </c>
      <c r="N158" s="3">
        <v>14820.76</v>
      </c>
      <c r="O158" t="s">
        <v>22</v>
      </c>
    </row>
    <row r="159" spans="1:15" x14ac:dyDescent="0.2">
      <c r="A159" t="s">
        <v>334</v>
      </c>
      <c r="B159" t="s">
        <v>138</v>
      </c>
      <c r="C159">
        <v>37</v>
      </c>
      <c r="D159" t="s">
        <v>37</v>
      </c>
      <c r="E159" t="s">
        <v>26</v>
      </c>
      <c r="F159" t="s">
        <v>18</v>
      </c>
      <c r="G159" s="2">
        <v>46031</v>
      </c>
      <c r="H159" t="s">
        <v>28</v>
      </c>
      <c r="I159" s="3">
        <v>2383221</v>
      </c>
      <c r="J159">
        <v>793</v>
      </c>
      <c r="K159" t="s">
        <v>29</v>
      </c>
      <c r="L159" t="s">
        <v>38</v>
      </c>
      <c r="M159">
        <v>68</v>
      </c>
      <c r="N159" s="3">
        <v>22910.240000000002</v>
      </c>
      <c r="O159" t="s">
        <v>335</v>
      </c>
    </row>
    <row r="160" spans="1:15" x14ac:dyDescent="0.2">
      <c r="A160" t="s">
        <v>336</v>
      </c>
      <c r="B160" t="s">
        <v>305</v>
      </c>
      <c r="C160">
        <v>32</v>
      </c>
      <c r="D160" t="s">
        <v>37</v>
      </c>
      <c r="E160" t="s">
        <v>26</v>
      </c>
      <c r="F160" t="s">
        <v>27</v>
      </c>
      <c r="G160" s="2">
        <v>46265</v>
      </c>
      <c r="H160" t="s">
        <v>28</v>
      </c>
      <c r="I160" s="3">
        <v>987550</v>
      </c>
      <c r="J160">
        <v>629</v>
      </c>
      <c r="K160" t="s">
        <v>29</v>
      </c>
      <c r="L160" t="s">
        <v>45</v>
      </c>
      <c r="M160">
        <v>114</v>
      </c>
      <c r="N160" s="3">
        <v>7340.68</v>
      </c>
      <c r="O160" t="s">
        <v>22</v>
      </c>
    </row>
    <row r="161" spans="1:15" x14ac:dyDescent="0.2">
      <c r="A161" t="s">
        <v>337</v>
      </c>
      <c r="B161" t="s">
        <v>338</v>
      </c>
      <c r="C161">
        <v>26</v>
      </c>
      <c r="D161" t="s">
        <v>25</v>
      </c>
      <c r="E161" t="s">
        <v>56</v>
      </c>
      <c r="F161" t="s">
        <v>18</v>
      </c>
      <c r="G161" s="2">
        <v>46129</v>
      </c>
      <c r="H161" t="s">
        <v>33</v>
      </c>
      <c r="I161" s="3">
        <v>2048954</v>
      </c>
      <c r="J161">
        <v>789</v>
      </c>
      <c r="K161" t="s">
        <v>86</v>
      </c>
      <c r="L161" t="s">
        <v>21</v>
      </c>
      <c r="M161">
        <v>43</v>
      </c>
      <c r="N161" s="3">
        <v>1965.16</v>
      </c>
      <c r="O161" t="s">
        <v>22</v>
      </c>
    </row>
    <row r="162" spans="1:15" x14ac:dyDescent="0.2">
      <c r="A162" t="s">
        <v>339</v>
      </c>
      <c r="B162" t="s">
        <v>340</v>
      </c>
      <c r="C162">
        <v>46</v>
      </c>
      <c r="D162" t="s">
        <v>105</v>
      </c>
      <c r="E162" t="s">
        <v>26</v>
      </c>
      <c r="F162" t="s">
        <v>18</v>
      </c>
      <c r="G162" s="2">
        <v>45890</v>
      </c>
      <c r="H162" t="s">
        <v>28</v>
      </c>
      <c r="I162" s="3">
        <v>2210350</v>
      </c>
      <c r="J162">
        <v>608</v>
      </c>
      <c r="K162" t="s">
        <v>67</v>
      </c>
      <c r="L162" t="s">
        <v>30</v>
      </c>
      <c r="M162">
        <v>57</v>
      </c>
      <c r="N162" s="3">
        <v>6783.81</v>
      </c>
      <c r="O162" t="s">
        <v>22</v>
      </c>
    </row>
    <row r="163" spans="1:15" x14ac:dyDescent="0.2">
      <c r="A163" t="s">
        <v>341</v>
      </c>
      <c r="B163" t="s">
        <v>342</v>
      </c>
      <c r="C163">
        <v>47</v>
      </c>
      <c r="D163" t="s">
        <v>55</v>
      </c>
      <c r="E163" t="s">
        <v>26</v>
      </c>
      <c r="F163" t="s">
        <v>18</v>
      </c>
      <c r="G163" s="2">
        <v>45770</v>
      </c>
      <c r="H163" t="s">
        <v>28</v>
      </c>
      <c r="I163" s="3">
        <v>1032533</v>
      </c>
      <c r="J163">
        <v>618</v>
      </c>
      <c r="K163" t="s">
        <v>78</v>
      </c>
      <c r="L163" t="s">
        <v>38</v>
      </c>
      <c r="M163">
        <v>36</v>
      </c>
      <c r="N163" s="3">
        <v>17287.12</v>
      </c>
      <c r="O163" t="s">
        <v>22</v>
      </c>
    </row>
    <row r="164" spans="1:15" x14ac:dyDescent="0.2">
      <c r="A164" t="s">
        <v>343</v>
      </c>
      <c r="B164" t="s">
        <v>344</v>
      </c>
      <c r="C164">
        <v>28</v>
      </c>
      <c r="D164" t="s">
        <v>42</v>
      </c>
      <c r="E164" t="s">
        <v>26</v>
      </c>
      <c r="F164" t="s">
        <v>27</v>
      </c>
      <c r="G164" s="2">
        <v>46154</v>
      </c>
      <c r="H164" t="s">
        <v>52</v>
      </c>
      <c r="I164" s="3">
        <v>1179090</v>
      </c>
      <c r="J164">
        <v>679</v>
      </c>
      <c r="K164" t="s">
        <v>67</v>
      </c>
      <c r="L164" t="s">
        <v>21</v>
      </c>
      <c r="M164">
        <v>120</v>
      </c>
      <c r="N164" s="3">
        <v>16607.86</v>
      </c>
      <c r="O164" t="s">
        <v>22</v>
      </c>
    </row>
    <row r="165" spans="1:15" x14ac:dyDescent="0.2">
      <c r="A165" t="s">
        <v>345</v>
      </c>
      <c r="B165" t="s">
        <v>346</v>
      </c>
      <c r="C165">
        <v>39</v>
      </c>
      <c r="D165" t="s">
        <v>48</v>
      </c>
      <c r="E165" t="s">
        <v>17</v>
      </c>
      <c r="F165" t="s">
        <v>18</v>
      </c>
      <c r="G165" s="2">
        <v>46099</v>
      </c>
      <c r="H165" t="s">
        <v>33</v>
      </c>
      <c r="I165" s="3">
        <v>3052743</v>
      </c>
      <c r="J165">
        <v>752</v>
      </c>
      <c r="K165" t="s">
        <v>86</v>
      </c>
      <c r="L165" t="s">
        <v>21</v>
      </c>
      <c r="M165">
        <v>14</v>
      </c>
      <c r="N165" s="3">
        <v>8939.99</v>
      </c>
      <c r="O165" t="s">
        <v>22</v>
      </c>
    </row>
    <row r="166" spans="1:15" x14ac:dyDescent="0.2">
      <c r="A166" t="s">
        <v>347</v>
      </c>
      <c r="B166" t="s">
        <v>348</v>
      </c>
      <c r="C166">
        <v>62</v>
      </c>
      <c r="D166" t="s">
        <v>89</v>
      </c>
      <c r="E166" t="s">
        <v>83</v>
      </c>
      <c r="F166" t="s">
        <v>27</v>
      </c>
      <c r="G166" s="2">
        <v>46221</v>
      </c>
      <c r="H166" t="s">
        <v>33</v>
      </c>
      <c r="I166" s="3">
        <v>637902</v>
      </c>
      <c r="J166">
        <v>596</v>
      </c>
      <c r="K166" t="s">
        <v>86</v>
      </c>
      <c r="L166" t="s">
        <v>45</v>
      </c>
      <c r="M166">
        <v>82</v>
      </c>
      <c r="N166" s="3">
        <v>22974.78</v>
      </c>
      <c r="O166" t="s">
        <v>22</v>
      </c>
    </row>
    <row r="167" spans="1:15" x14ac:dyDescent="0.2">
      <c r="A167" t="s">
        <v>349</v>
      </c>
      <c r="B167" t="s">
        <v>36</v>
      </c>
      <c r="C167">
        <v>21</v>
      </c>
      <c r="D167" t="s">
        <v>51</v>
      </c>
      <c r="E167" t="s">
        <v>56</v>
      </c>
      <c r="F167" t="s">
        <v>27</v>
      </c>
      <c r="G167" s="2">
        <v>45925</v>
      </c>
      <c r="H167" t="s">
        <v>52</v>
      </c>
      <c r="I167" s="3">
        <v>2150302</v>
      </c>
      <c r="J167">
        <v>635</v>
      </c>
      <c r="K167" t="s">
        <v>92</v>
      </c>
      <c r="L167" t="s">
        <v>30</v>
      </c>
      <c r="M167">
        <v>72</v>
      </c>
      <c r="N167" s="3">
        <v>21863.86</v>
      </c>
      <c r="O167" t="s">
        <v>22</v>
      </c>
    </row>
    <row r="168" spans="1:15" x14ac:dyDescent="0.2">
      <c r="A168" t="s">
        <v>350</v>
      </c>
      <c r="B168" t="s">
        <v>351</v>
      </c>
      <c r="C168">
        <v>49</v>
      </c>
      <c r="D168" t="s">
        <v>16</v>
      </c>
      <c r="E168" t="s">
        <v>26</v>
      </c>
      <c r="F168" t="s">
        <v>18</v>
      </c>
      <c r="G168" s="2">
        <v>46167</v>
      </c>
      <c r="H168" t="s">
        <v>33</v>
      </c>
      <c r="I168" s="3">
        <v>934659</v>
      </c>
      <c r="J168">
        <v>805</v>
      </c>
      <c r="K168" t="s">
        <v>20</v>
      </c>
      <c r="L168" t="s">
        <v>58</v>
      </c>
      <c r="M168">
        <v>96</v>
      </c>
      <c r="N168" s="3">
        <v>5167.5200000000004</v>
      </c>
      <c r="O168" t="s">
        <v>22</v>
      </c>
    </row>
    <row r="169" spans="1:15" x14ac:dyDescent="0.2">
      <c r="A169" t="s">
        <v>352</v>
      </c>
      <c r="B169" t="s">
        <v>236</v>
      </c>
      <c r="C169">
        <v>65</v>
      </c>
      <c r="D169" t="s">
        <v>48</v>
      </c>
      <c r="E169" t="s">
        <v>56</v>
      </c>
      <c r="F169" t="s">
        <v>27</v>
      </c>
      <c r="G169" s="2">
        <v>46043</v>
      </c>
      <c r="H169" t="s">
        <v>28</v>
      </c>
      <c r="I169" s="3">
        <v>689717</v>
      </c>
      <c r="J169">
        <v>625</v>
      </c>
      <c r="K169" t="s">
        <v>78</v>
      </c>
      <c r="L169" t="s">
        <v>21</v>
      </c>
      <c r="M169">
        <v>27</v>
      </c>
      <c r="N169" s="3">
        <v>1814.49</v>
      </c>
      <c r="O169" t="s">
        <v>22</v>
      </c>
    </row>
    <row r="170" spans="1:15" x14ac:dyDescent="0.2">
      <c r="A170" t="s">
        <v>353</v>
      </c>
      <c r="B170" t="s">
        <v>354</v>
      </c>
      <c r="C170">
        <v>69</v>
      </c>
      <c r="D170" t="s">
        <v>42</v>
      </c>
      <c r="E170" t="s">
        <v>26</v>
      </c>
      <c r="F170" t="s">
        <v>18</v>
      </c>
      <c r="G170" s="2">
        <v>46044</v>
      </c>
      <c r="H170" t="s">
        <v>28</v>
      </c>
      <c r="I170" s="3">
        <v>962494</v>
      </c>
      <c r="J170">
        <v>646</v>
      </c>
      <c r="K170" t="s">
        <v>29</v>
      </c>
      <c r="L170" t="s">
        <v>38</v>
      </c>
      <c r="M170">
        <v>106</v>
      </c>
      <c r="N170" s="3">
        <v>10937.53</v>
      </c>
      <c r="O170" t="s">
        <v>22</v>
      </c>
    </row>
    <row r="171" spans="1:15" x14ac:dyDescent="0.2">
      <c r="A171" t="s">
        <v>355</v>
      </c>
      <c r="B171" t="s">
        <v>323</v>
      </c>
      <c r="C171">
        <v>55</v>
      </c>
      <c r="D171" t="s">
        <v>70</v>
      </c>
      <c r="E171" t="s">
        <v>26</v>
      </c>
      <c r="F171" t="s">
        <v>27</v>
      </c>
      <c r="G171" s="2">
        <v>45770</v>
      </c>
      <c r="H171" t="s">
        <v>28</v>
      </c>
      <c r="I171" s="3">
        <v>4040918</v>
      </c>
      <c r="J171">
        <v>776</v>
      </c>
      <c r="K171" t="s">
        <v>57</v>
      </c>
      <c r="L171" t="s">
        <v>45</v>
      </c>
      <c r="M171">
        <v>37</v>
      </c>
      <c r="N171" s="3">
        <v>4088.9</v>
      </c>
      <c r="O171" t="s">
        <v>22</v>
      </c>
    </row>
    <row r="172" spans="1:15" x14ac:dyDescent="0.2">
      <c r="A172" t="s">
        <v>356</v>
      </c>
      <c r="B172" t="s">
        <v>196</v>
      </c>
      <c r="C172">
        <v>60</v>
      </c>
      <c r="D172" t="s">
        <v>105</v>
      </c>
      <c r="E172" t="s">
        <v>26</v>
      </c>
      <c r="F172" t="s">
        <v>27</v>
      </c>
      <c r="G172" s="2">
        <v>45738</v>
      </c>
      <c r="H172" t="s">
        <v>28</v>
      </c>
      <c r="I172" s="3">
        <v>3417118</v>
      </c>
      <c r="J172">
        <v>721</v>
      </c>
      <c r="K172" t="s">
        <v>29</v>
      </c>
      <c r="L172" t="s">
        <v>45</v>
      </c>
      <c r="M172">
        <v>87</v>
      </c>
      <c r="N172" s="3">
        <v>10414.31</v>
      </c>
      <c r="O172" t="s">
        <v>22</v>
      </c>
    </row>
    <row r="173" spans="1:15" x14ac:dyDescent="0.2">
      <c r="A173" t="s">
        <v>357</v>
      </c>
      <c r="B173" t="s">
        <v>223</v>
      </c>
      <c r="C173">
        <v>34</v>
      </c>
      <c r="D173" t="s">
        <v>42</v>
      </c>
      <c r="E173" t="s">
        <v>26</v>
      </c>
      <c r="F173" t="s">
        <v>18</v>
      </c>
      <c r="G173" s="2">
        <v>45770</v>
      </c>
      <c r="H173" t="s">
        <v>33</v>
      </c>
      <c r="I173" s="3">
        <v>2491105</v>
      </c>
      <c r="J173">
        <v>602</v>
      </c>
      <c r="K173" t="s">
        <v>67</v>
      </c>
      <c r="L173" t="s">
        <v>21</v>
      </c>
      <c r="M173">
        <v>71</v>
      </c>
      <c r="N173" s="3">
        <v>36783.56</v>
      </c>
      <c r="O173" t="s">
        <v>22</v>
      </c>
    </row>
    <row r="174" spans="1:15" x14ac:dyDescent="0.2">
      <c r="A174" t="s">
        <v>358</v>
      </c>
      <c r="B174" t="s">
        <v>359</v>
      </c>
      <c r="C174">
        <v>55</v>
      </c>
      <c r="D174" t="s">
        <v>70</v>
      </c>
      <c r="E174" t="s">
        <v>26</v>
      </c>
      <c r="F174" t="s">
        <v>43</v>
      </c>
      <c r="G174" s="2">
        <v>45659</v>
      </c>
      <c r="H174" t="s">
        <v>44</v>
      </c>
      <c r="I174" s="3">
        <v>1570307</v>
      </c>
      <c r="J174">
        <v>673</v>
      </c>
      <c r="K174" t="s">
        <v>86</v>
      </c>
      <c r="L174" t="s">
        <v>21</v>
      </c>
      <c r="M174">
        <v>76</v>
      </c>
      <c r="N174" s="3">
        <v>14176.86</v>
      </c>
      <c r="O174" t="s">
        <v>22</v>
      </c>
    </row>
    <row r="175" spans="1:15" x14ac:dyDescent="0.2">
      <c r="A175" t="s">
        <v>360</v>
      </c>
      <c r="B175" t="s">
        <v>91</v>
      </c>
      <c r="C175">
        <v>68</v>
      </c>
      <c r="D175" t="s">
        <v>25</v>
      </c>
      <c r="E175" t="s">
        <v>17</v>
      </c>
      <c r="F175" t="s">
        <v>27</v>
      </c>
      <c r="G175" s="2">
        <v>45877</v>
      </c>
      <c r="H175" t="s">
        <v>19</v>
      </c>
      <c r="I175" s="3">
        <v>2572024</v>
      </c>
      <c r="J175">
        <v>821</v>
      </c>
      <c r="K175" t="s">
        <v>78</v>
      </c>
      <c r="L175" t="s">
        <v>21</v>
      </c>
      <c r="M175">
        <v>25</v>
      </c>
      <c r="N175" s="3">
        <v>34928.85</v>
      </c>
      <c r="O175" t="s">
        <v>22</v>
      </c>
    </row>
    <row r="176" spans="1:15" x14ac:dyDescent="0.2">
      <c r="A176" t="s">
        <v>361</v>
      </c>
      <c r="B176" t="s">
        <v>362</v>
      </c>
      <c r="C176">
        <v>65</v>
      </c>
      <c r="D176" t="s">
        <v>55</v>
      </c>
      <c r="E176" t="s">
        <v>56</v>
      </c>
      <c r="F176" t="s">
        <v>18</v>
      </c>
      <c r="G176" s="2">
        <v>46223</v>
      </c>
      <c r="H176" t="s">
        <v>33</v>
      </c>
      <c r="I176" s="3">
        <v>2814695</v>
      </c>
      <c r="J176">
        <v>816</v>
      </c>
      <c r="K176" t="s">
        <v>34</v>
      </c>
      <c r="L176" t="s">
        <v>58</v>
      </c>
      <c r="M176">
        <v>67</v>
      </c>
      <c r="N176" s="3">
        <v>3096.25</v>
      </c>
      <c r="O176" t="s">
        <v>22</v>
      </c>
    </row>
    <row r="177" spans="1:15" x14ac:dyDescent="0.2">
      <c r="A177" t="s">
        <v>363</v>
      </c>
      <c r="B177" t="s">
        <v>364</v>
      </c>
      <c r="C177">
        <v>40</v>
      </c>
      <c r="D177" t="s">
        <v>89</v>
      </c>
      <c r="E177" t="s">
        <v>26</v>
      </c>
      <c r="F177" t="s">
        <v>43</v>
      </c>
      <c r="G177" s="2">
        <v>45882</v>
      </c>
      <c r="H177" t="s">
        <v>28</v>
      </c>
      <c r="I177" s="3">
        <v>1345589</v>
      </c>
      <c r="J177">
        <v>633</v>
      </c>
      <c r="K177" t="s">
        <v>78</v>
      </c>
      <c r="L177" t="s">
        <v>21</v>
      </c>
      <c r="M177">
        <v>90</v>
      </c>
      <c r="N177" s="3">
        <v>28052.37</v>
      </c>
      <c r="O177" t="s">
        <v>22</v>
      </c>
    </row>
    <row r="178" spans="1:15" x14ac:dyDescent="0.2">
      <c r="A178" t="s">
        <v>365</v>
      </c>
      <c r="B178" t="s">
        <v>183</v>
      </c>
      <c r="C178">
        <v>69</v>
      </c>
      <c r="D178" t="s">
        <v>75</v>
      </c>
      <c r="E178" t="s">
        <v>26</v>
      </c>
      <c r="F178" t="s">
        <v>43</v>
      </c>
      <c r="G178" s="2">
        <v>46042</v>
      </c>
      <c r="H178" t="s">
        <v>28</v>
      </c>
      <c r="I178" s="3">
        <v>1164217</v>
      </c>
      <c r="J178">
        <v>717</v>
      </c>
      <c r="K178" t="s">
        <v>78</v>
      </c>
      <c r="L178" t="s">
        <v>30</v>
      </c>
      <c r="M178">
        <v>4</v>
      </c>
      <c r="N178" s="3">
        <v>52074.35</v>
      </c>
      <c r="O178" t="s">
        <v>22</v>
      </c>
    </row>
    <row r="179" spans="1:15" x14ac:dyDescent="0.2">
      <c r="A179" t="s">
        <v>366</v>
      </c>
      <c r="B179" t="s">
        <v>367</v>
      </c>
      <c r="C179">
        <v>33</v>
      </c>
      <c r="D179" t="s">
        <v>25</v>
      </c>
      <c r="E179" t="s">
        <v>26</v>
      </c>
      <c r="F179" t="s">
        <v>27</v>
      </c>
      <c r="G179" s="2">
        <v>46060</v>
      </c>
      <c r="H179" t="s">
        <v>52</v>
      </c>
      <c r="I179" s="3">
        <v>4114708</v>
      </c>
      <c r="J179">
        <v>620</v>
      </c>
      <c r="K179" t="s">
        <v>20</v>
      </c>
      <c r="L179" t="s">
        <v>38</v>
      </c>
      <c r="M179">
        <v>106</v>
      </c>
      <c r="N179" s="3">
        <v>9581.01</v>
      </c>
      <c r="O179" t="s">
        <v>22</v>
      </c>
    </row>
    <row r="180" spans="1:15" x14ac:dyDescent="0.2">
      <c r="A180" t="s">
        <v>368</v>
      </c>
      <c r="B180" t="s">
        <v>369</v>
      </c>
      <c r="C180">
        <v>58</v>
      </c>
      <c r="D180" t="s">
        <v>48</v>
      </c>
      <c r="E180" t="s">
        <v>26</v>
      </c>
      <c r="F180" t="s">
        <v>18</v>
      </c>
      <c r="G180" s="2">
        <v>45787</v>
      </c>
      <c r="H180" t="s">
        <v>33</v>
      </c>
      <c r="I180" s="3">
        <v>328113</v>
      </c>
      <c r="J180">
        <v>677</v>
      </c>
      <c r="K180" t="s">
        <v>29</v>
      </c>
      <c r="L180" t="s">
        <v>21</v>
      </c>
      <c r="M180">
        <v>100</v>
      </c>
      <c r="N180" s="3">
        <v>102555.16</v>
      </c>
      <c r="O180" t="s">
        <v>22</v>
      </c>
    </row>
    <row r="181" spans="1:15" x14ac:dyDescent="0.2">
      <c r="A181" t="s">
        <v>370</v>
      </c>
      <c r="B181" t="s">
        <v>371</v>
      </c>
      <c r="C181">
        <v>69</v>
      </c>
      <c r="D181" t="s">
        <v>25</v>
      </c>
      <c r="E181" t="s">
        <v>17</v>
      </c>
      <c r="F181" t="s">
        <v>18</v>
      </c>
      <c r="G181" s="2">
        <v>45710</v>
      </c>
      <c r="H181" t="s">
        <v>33</v>
      </c>
      <c r="I181" s="3">
        <v>2171792</v>
      </c>
      <c r="J181">
        <v>762</v>
      </c>
      <c r="K181" t="s">
        <v>20</v>
      </c>
      <c r="L181" t="s">
        <v>58</v>
      </c>
      <c r="M181">
        <v>79</v>
      </c>
      <c r="N181" s="3">
        <v>3639.85</v>
      </c>
      <c r="O181" t="s">
        <v>22</v>
      </c>
    </row>
    <row r="182" spans="1:15" x14ac:dyDescent="0.2">
      <c r="A182" t="s">
        <v>372</v>
      </c>
      <c r="B182" t="s">
        <v>373</v>
      </c>
      <c r="C182">
        <v>66</v>
      </c>
      <c r="D182" t="s">
        <v>48</v>
      </c>
      <c r="E182" t="s">
        <v>26</v>
      </c>
      <c r="F182" t="s">
        <v>18</v>
      </c>
      <c r="G182" s="2">
        <v>46073</v>
      </c>
      <c r="H182" t="s">
        <v>52</v>
      </c>
      <c r="I182" s="3">
        <v>1789219</v>
      </c>
      <c r="J182">
        <v>707</v>
      </c>
      <c r="K182" t="s">
        <v>34</v>
      </c>
      <c r="L182" t="s">
        <v>38</v>
      </c>
      <c r="M182">
        <v>96</v>
      </c>
      <c r="N182" s="3">
        <v>4578.95</v>
      </c>
      <c r="O182" t="s">
        <v>22</v>
      </c>
    </row>
    <row r="183" spans="1:15" x14ac:dyDescent="0.2">
      <c r="A183" t="s">
        <v>374</v>
      </c>
      <c r="B183" t="s">
        <v>375</v>
      </c>
      <c r="C183">
        <v>69</v>
      </c>
      <c r="D183" t="s">
        <v>75</v>
      </c>
      <c r="E183" t="s">
        <v>56</v>
      </c>
      <c r="F183" t="s">
        <v>27</v>
      </c>
      <c r="G183" s="2">
        <v>45904</v>
      </c>
      <c r="H183" t="s">
        <v>52</v>
      </c>
      <c r="I183" s="3">
        <v>4252262</v>
      </c>
      <c r="J183">
        <v>808</v>
      </c>
      <c r="K183" t="s">
        <v>34</v>
      </c>
      <c r="L183" t="s">
        <v>45</v>
      </c>
      <c r="M183">
        <v>93</v>
      </c>
      <c r="N183" s="3">
        <v>17719.7</v>
      </c>
      <c r="O183" t="s">
        <v>22</v>
      </c>
    </row>
    <row r="184" spans="1:15" x14ac:dyDescent="0.2">
      <c r="A184" t="s">
        <v>376</v>
      </c>
      <c r="B184" t="s">
        <v>377</v>
      </c>
      <c r="C184">
        <v>28</v>
      </c>
      <c r="D184" t="s">
        <v>128</v>
      </c>
      <c r="E184" t="s">
        <v>26</v>
      </c>
      <c r="F184" t="s">
        <v>18</v>
      </c>
      <c r="G184" s="2">
        <v>46096</v>
      </c>
      <c r="H184" t="s">
        <v>44</v>
      </c>
      <c r="I184" s="3">
        <v>4243687</v>
      </c>
      <c r="J184">
        <v>665</v>
      </c>
      <c r="K184" t="s">
        <v>92</v>
      </c>
      <c r="L184" t="s">
        <v>21</v>
      </c>
      <c r="M184">
        <v>74</v>
      </c>
      <c r="N184" s="3">
        <v>9482.36</v>
      </c>
      <c r="O184" t="s">
        <v>22</v>
      </c>
    </row>
    <row r="185" spans="1:15" x14ac:dyDescent="0.2">
      <c r="A185" t="s">
        <v>378</v>
      </c>
      <c r="B185" t="s">
        <v>293</v>
      </c>
      <c r="C185">
        <v>63</v>
      </c>
      <c r="D185" t="s">
        <v>70</v>
      </c>
      <c r="E185" t="s">
        <v>26</v>
      </c>
      <c r="F185" t="s">
        <v>18</v>
      </c>
      <c r="G185" s="2">
        <v>45860</v>
      </c>
      <c r="H185" t="s">
        <v>28</v>
      </c>
      <c r="I185" s="3">
        <v>2739667</v>
      </c>
      <c r="J185">
        <v>835</v>
      </c>
      <c r="K185" t="s">
        <v>67</v>
      </c>
      <c r="L185" t="s">
        <v>38</v>
      </c>
      <c r="M185">
        <v>85</v>
      </c>
      <c r="N185" s="3">
        <v>4104.9399999999996</v>
      </c>
      <c r="O185" t="s">
        <v>335</v>
      </c>
    </row>
    <row r="186" spans="1:15" x14ac:dyDescent="0.2">
      <c r="A186" t="s">
        <v>379</v>
      </c>
      <c r="B186" t="s">
        <v>380</v>
      </c>
      <c r="C186">
        <v>40</v>
      </c>
      <c r="D186" t="s">
        <v>89</v>
      </c>
      <c r="E186" t="s">
        <v>26</v>
      </c>
      <c r="F186" t="s">
        <v>18</v>
      </c>
      <c r="G186" s="2">
        <v>45841</v>
      </c>
      <c r="H186" t="s">
        <v>52</v>
      </c>
      <c r="I186" s="3">
        <v>1545125</v>
      </c>
      <c r="J186">
        <v>788</v>
      </c>
      <c r="K186" t="s">
        <v>57</v>
      </c>
      <c r="L186" t="s">
        <v>45</v>
      </c>
      <c r="M186">
        <v>118</v>
      </c>
      <c r="N186" s="3">
        <v>17155.25</v>
      </c>
      <c r="O186" t="s">
        <v>22</v>
      </c>
    </row>
    <row r="187" spans="1:15" x14ac:dyDescent="0.2">
      <c r="A187" t="s">
        <v>381</v>
      </c>
      <c r="B187" t="s">
        <v>167</v>
      </c>
      <c r="C187">
        <v>53</v>
      </c>
      <c r="D187" t="s">
        <v>51</v>
      </c>
      <c r="E187" t="s">
        <v>26</v>
      </c>
      <c r="F187" t="s">
        <v>27</v>
      </c>
      <c r="G187" s="2">
        <v>45780</v>
      </c>
      <c r="H187" t="s">
        <v>44</v>
      </c>
      <c r="I187" s="3">
        <v>335395</v>
      </c>
      <c r="J187">
        <v>794</v>
      </c>
      <c r="K187" t="s">
        <v>92</v>
      </c>
      <c r="L187" t="s">
        <v>58</v>
      </c>
      <c r="M187">
        <v>16</v>
      </c>
      <c r="N187" s="3">
        <v>13007.98</v>
      </c>
      <c r="O187" t="s">
        <v>22</v>
      </c>
    </row>
    <row r="188" spans="1:15" x14ac:dyDescent="0.2">
      <c r="A188" t="s">
        <v>382</v>
      </c>
      <c r="B188" t="s">
        <v>211</v>
      </c>
      <c r="C188">
        <v>46</v>
      </c>
      <c r="D188" t="s">
        <v>51</v>
      </c>
      <c r="E188" t="s">
        <v>26</v>
      </c>
      <c r="F188" t="s">
        <v>18</v>
      </c>
      <c r="G188" s="2">
        <v>46058</v>
      </c>
      <c r="H188" t="s">
        <v>28</v>
      </c>
      <c r="I188" s="3">
        <v>1383859</v>
      </c>
      <c r="J188">
        <v>679</v>
      </c>
      <c r="K188" t="s">
        <v>86</v>
      </c>
      <c r="L188" t="s">
        <v>30</v>
      </c>
      <c r="M188">
        <v>111</v>
      </c>
      <c r="N188" s="3">
        <v>4838.74</v>
      </c>
      <c r="O188" t="s">
        <v>335</v>
      </c>
    </row>
    <row r="189" spans="1:15" x14ac:dyDescent="0.2">
      <c r="A189" t="s">
        <v>383</v>
      </c>
      <c r="B189" t="s">
        <v>60</v>
      </c>
      <c r="C189">
        <v>59</v>
      </c>
      <c r="D189" t="s">
        <v>70</v>
      </c>
      <c r="E189" t="s">
        <v>56</v>
      </c>
      <c r="F189" t="s">
        <v>18</v>
      </c>
      <c r="G189" s="2">
        <v>45951</v>
      </c>
      <c r="H189" t="s">
        <v>33</v>
      </c>
      <c r="I189" s="3">
        <v>1343060</v>
      </c>
      <c r="J189">
        <v>628</v>
      </c>
      <c r="K189" t="s">
        <v>20</v>
      </c>
      <c r="L189" t="s">
        <v>21</v>
      </c>
      <c r="M189">
        <v>19</v>
      </c>
      <c r="N189" s="3">
        <v>10921.67</v>
      </c>
      <c r="O189" t="s">
        <v>22</v>
      </c>
    </row>
    <row r="190" spans="1:15" x14ac:dyDescent="0.2">
      <c r="A190" t="s">
        <v>384</v>
      </c>
      <c r="B190" t="s">
        <v>140</v>
      </c>
      <c r="C190">
        <v>41</v>
      </c>
      <c r="D190" t="s">
        <v>16</v>
      </c>
      <c r="E190" t="s">
        <v>26</v>
      </c>
      <c r="F190" t="s">
        <v>27</v>
      </c>
      <c r="G190" s="2">
        <v>45937</v>
      </c>
      <c r="H190" t="s">
        <v>28</v>
      </c>
      <c r="I190" s="3">
        <v>2948954</v>
      </c>
      <c r="J190">
        <v>780</v>
      </c>
      <c r="K190" t="s">
        <v>20</v>
      </c>
      <c r="L190" t="s">
        <v>30</v>
      </c>
      <c r="M190">
        <v>29</v>
      </c>
      <c r="N190" s="3">
        <v>19870.21</v>
      </c>
      <c r="O190" t="s">
        <v>22</v>
      </c>
    </row>
    <row r="191" spans="1:15" x14ac:dyDescent="0.2">
      <c r="A191" t="s">
        <v>385</v>
      </c>
      <c r="B191" t="s">
        <v>386</v>
      </c>
      <c r="C191">
        <v>69</v>
      </c>
      <c r="D191" t="s">
        <v>42</v>
      </c>
      <c r="E191" t="s">
        <v>17</v>
      </c>
      <c r="F191" t="s">
        <v>27</v>
      </c>
      <c r="G191" s="2">
        <v>45855</v>
      </c>
      <c r="H191" t="s">
        <v>19</v>
      </c>
      <c r="I191" s="3">
        <v>3485863</v>
      </c>
      <c r="J191">
        <v>837</v>
      </c>
      <c r="K191" t="s">
        <v>92</v>
      </c>
      <c r="L191" t="s">
        <v>58</v>
      </c>
      <c r="M191">
        <v>116</v>
      </c>
      <c r="N191" s="3">
        <v>4727.34</v>
      </c>
      <c r="O191" t="s">
        <v>22</v>
      </c>
    </row>
    <row r="192" spans="1:15" x14ac:dyDescent="0.2">
      <c r="A192" t="s">
        <v>387</v>
      </c>
      <c r="B192" t="s">
        <v>388</v>
      </c>
      <c r="C192">
        <v>62</v>
      </c>
      <c r="D192" t="s">
        <v>128</v>
      </c>
      <c r="E192" t="s">
        <v>26</v>
      </c>
      <c r="F192" t="s">
        <v>100</v>
      </c>
      <c r="G192" s="2">
        <v>46168</v>
      </c>
      <c r="H192" t="s">
        <v>28</v>
      </c>
      <c r="I192" s="3">
        <v>2645067</v>
      </c>
      <c r="J192">
        <v>757</v>
      </c>
      <c r="K192" t="s">
        <v>86</v>
      </c>
      <c r="L192" t="s">
        <v>38</v>
      </c>
      <c r="M192">
        <v>51</v>
      </c>
      <c r="N192" s="3">
        <v>15411.14</v>
      </c>
      <c r="O192" t="s">
        <v>22</v>
      </c>
    </row>
    <row r="193" spans="1:15" x14ac:dyDescent="0.2">
      <c r="A193" t="s">
        <v>389</v>
      </c>
      <c r="B193" t="s">
        <v>390</v>
      </c>
      <c r="C193">
        <v>63</v>
      </c>
      <c r="D193" t="s">
        <v>70</v>
      </c>
      <c r="E193" t="s">
        <v>26</v>
      </c>
      <c r="F193" t="s">
        <v>27</v>
      </c>
      <c r="G193" s="2">
        <v>45801</v>
      </c>
      <c r="H193" t="s">
        <v>33</v>
      </c>
      <c r="I193" s="3">
        <v>3901422</v>
      </c>
      <c r="J193">
        <v>824</v>
      </c>
      <c r="K193" t="s">
        <v>78</v>
      </c>
      <c r="L193" t="s">
        <v>38</v>
      </c>
      <c r="M193">
        <v>18</v>
      </c>
      <c r="N193" s="3">
        <v>3603.3</v>
      </c>
      <c r="O193" t="s">
        <v>22</v>
      </c>
    </row>
    <row r="194" spans="1:15" x14ac:dyDescent="0.2">
      <c r="A194" t="s">
        <v>391</v>
      </c>
      <c r="B194" t="s">
        <v>392</v>
      </c>
      <c r="C194">
        <v>61</v>
      </c>
      <c r="D194" t="s">
        <v>51</v>
      </c>
      <c r="E194" t="s">
        <v>26</v>
      </c>
      <c r="F194" t="s">
        <v>100</v>
      </c>
      <c r="G194" s="2">
        <v>45858</v>
      </c>
      <c r="H194" t="s">
        <v>28</v>
      </c>
      <c r="I194" s="3">
        <v>464223</v>
      </c>
      <c r="J194">
        <v>702</v>
      </c>
      <c r="K194" t="s">
        <v>86</v>
      </c>
      <c r="L194" t="s">
        <v>58</v>
      </c>
      <c r="M194">
        <v>58</v>
      </c>
      <c r="N194" s="3">
        <v>4413.7700000000004</v>
      </c>
      <c r="O194" t="s">
        <v>22</v>
      </c>
    </row>
    <row r="195" spans="1:15" x14ac:dyDescent="0.2">
      <c r="A195" t="s">
        <v>393</v>
      </c>
      <c r="B195" t="s">
        <v>394</v>
      </c>
      <c r="C195">
        <v>29</v>
      </c>
      <c r="D195" t="s">
        <v>25</v>
      </c>
      <c r="E195" t="s">
        <v>56</v>
      </c>
      <c r="F195" t="s">
        <v>18</v>
      </c>
      <c r="G195" s="2">
        <v>45781</v>
      </c>
      <c r="H195" t="s">
        <v>52</v>
      </c>
      <c r="I195" s="3">
        <v>4419495</v>
      </c>
      <c r="J195">
        <v>750</v>
      </c>
      <c r="K195" t="s">
        <v>29</v>
      </c>
      <c r="L195" t="s">
        <v>58</v>
      </c>
      <c r="M195">
        <v>44</v>
      </c>
      <c r="N195" s="3">
        <v>28772.25</v>
      </c>
      <c r="O195" t="s">
        <v>22</v>
      </c>
    </row>
    <row r="196" spans="1:15" x14ac:dyDescent="0.2">
      <c r="A196" t="s">
        <v>395</v>
      </c>
      <c r="B196" t="s">
        <v>217</v>
      </c>
      <c r="C196">
        <v>44</v>
      </c>
      <c r="D196" t="s">
        <v>42</v>
      </c>
      <c r="E196" t="s">
        <v>26</v>
      </c>
      <c r="F196" t="s">
        <v>43</v>
      </c>
      <c r="G196" s="2">
        <v>45844</v>
      </c>
      <c r="H196" t="s">
        <v>28</v>
      </c>
      <c r="I196" s="3">
        <v>2862761</v>
      </c>
      <c r="J196">
        <v>715</v>
      </c>
      <c r="K196" t="s">
        <v>92</v>
      </c>
      <c r="L196" t="s">
        <v>21</v>
      </c>
      <c r="M196">
        <v>16</v>
      </c>
      <c r="N196" s="3">
        <v>17059.009999999998</v>
      </c>
      <c r="O196" t="s">
        <v>22</v>
      </c>
    </row>
    <row r="197" spans="1:15" x14ac:dyDescent="0.2">
      <c r="A197" t="s">
        <v>396</v>
      </c>
      <c r="B197" t="s">
        <v>397</v>
      </c>
      <c r="C197">
        <v>57</v>
      </c>
      <c r="D197" t="s">
        <v>128</v>
      </c>
      <c r="E197" t="s">
        <v>56</v>
      </c>
      <c r="F197" t="s">
        <v>27</v>
      </c>
      <c r="G197" s="2">
        <v>45983</v>
      </c>
      <c r="H197" t="s">
        <v>28</v>
      </c>
      <c r="I197" s="3">
        <v>2245457</v>
      </c>
      <c r="J197">
        <v>638</v>
      </c>
      <c r="K197" t="s">
        <v>67</v>
      </c>
      <c r="L197" t="s">
        <v>45</v>
      </c>
      <c r="M197">
        <v>65</v>
      </c>
      <c r="N197" s="3">
        <v>1234.99</v>
      </c>
      <c r="O197" t="s">
        <v>22</v>
      </c>
    </row>
    <row r="198" spans="1:15" x14ac:dyDescent="0.2">
      <c r="A198" t="s">
        <v>398</v>
      </c>
      <c r="B198" t="s">
        <v>327</v>
      </c>
      <c r="C198">
        <v>69</v>
      </c>
      <c r="D198" t="s">
        <v>55</v>
      </c>
      <c r="E198" t="s">
        <v>26</v>
      </c>
      <c r="F198" t="s">
        <v>27</v>
      </c>
      <c r="G198" s="2">
        <v>46121</v>
      </c>
      <c r="H198" t="s">
        <v>28</v>
      </c>
      <c r="I198" s="3">
        <v>1263071</v>
      </c>
      <c r="J198">
        <v>772</v>
      </c>
      <c r="K198" t="s">
        <v>86</v>
      </c>
      <c r="L198" t="s">
        <v>30</v>
      </c>
      <c r="M198">
        <v>112</v>
      </c>
      <c r="N198" s="3">
        <v>6045.47</v>
      </c>
      <c r="O198" t="s">
        <v>22</v>
      </c>
    </row>
    <row r="199" spans="1:15" x14ac:dyDescent="0.2">
      <c r="A199" t="s">
        <v>399</v>
      </c>
      <c r="B199" t="s">
        <v>121</v>
      </c>
      <c r="C199">
        <v>61</v>
      </c>
      <c r="D199" t="s">
        <v>55</v>
      </c>
      <c r="E199" t="s">
        <v>56</v>
      </c>
      <c r="F199" t="s">
        <v>100</v>
      </c>
      <c r="G199" s="2">
        <v>46006</v>
      </c>
      <c r="H199" t="s">
        <v>44</v>
      </c>
      <c r="I199" s="3">
        <v>3525072</v>
      </c>
      <c r="J199">
        <v>847</v>
      </c>
      <c r="K199" t="s">
        <v>78</v>
      </c>
      <c r="L199" t="s">
        <v>30</v>
      </c>
      <c r="M199">
        <v>2</v>
      </c>
      <c r="N199" s="3">
        <v>14975.66</v>
      </c>
      <c r="O199" t="s">
        <v>22</v>
      </c>
    </row>
    <row r="200" spans="1:15" x14ac:dyDescent="0.2">
      <c r="A200" t="s">
        <v>400</v>
      </c>
      <c r="B200" t="s">
        <v>401</v>
      </c>
      <c r="C200">
        <v>37</v>
      </c>
      <c r="D200" t="s">
        <v>42</v>
      </c>
      <c r="E200" t="s">
        <v>26</v>
      </c>
      <c r="F200" t="s">
        <v>27</v>
      </c>
      <c r="G200" s="2">
        <v>46060</v>
      </c>
      <c r="H200" t="s">
        <v>28</v>
      </c>
      <c r="I200" s="3">
        <v>3538560</v>
      </c>
      <c r="J200">
        <v>839</v>
      </c>
      <c r="K200" t="s">
        <v>86</v>
      </c>
      <c r="L200" t="s">
        <v>38</v>
      </c>
      <c r="M200">
        <v>56</v>
      </c>
      <c r="N200" s="3">
        <v>10361.049999999999</v>
      </c>
      <c r="O200" t="s">
        <v>22</v>
      </c>
    </row>
    <row r="201" spans="1:15" x14ac:dyDescent="0.2">
      <c r="A201" t="s">
        <v>402</v>
      </c>
      <c r="B201" t="s">
        <v>403</v>
      </c>
      <c r="C201">
        <v>44</v>
      </c>
      <c r="D201" t="s">
        <v>70</v>
      </c>
      <c r="E201" t="s">
        <v>17</v>
      </c>
      <c r="F201" t="s">
        <v>18</v>
      </c>
      <c r="G201" s="2">
        <v>46003</v>
      </c>
      <c r="H201" t="s">
        <v>28</v>
      </c>
      <c r="I201" s="3">
        <v>1936090</v>
      </c>
      <c r="J201">
        <v>674</v>
      </c>
      <c r="K201" t="s">
        <v>20</v>
      </c>
      <c r="L201" t="s">
        <v>38</v>
      </c>
      <c r="M201">
        <v>79</v>
      </c>
      <c r="N201" s="3">
        <v>17139.04</v>
      </c>
      <c r="O201" t="s">
        <v>22</v>
      </c>
    </row>
    <row r="202" spans="1:15" x14ac:dyDescent="0.2">
      <c r="A202" t="s">
        <v>404</v>
      </c>
      <c r="B202" t="s">
        <v>36</v>
      </c>
      <c r="C202">
        <v>41</v>
      </c>
      <c r="D202" t="s">
        <v>48</v>
      </c>
      <c r="E202" t="s">
        <v>17</v>
      </c>
      <c r="F202" t="s">
        <v>27</v>
      </c>
      <c r="G202" s="2">
        <v>46168</v>
      </c>
      <c r="H202" t="s">
        <v>52</v>
      </c>
      <c r="I202" s="3">
        <v>537906</v>
      </c>
      <c r="J202">
        <v>704</v>
      </c>
      <c r="K202" t="s">
        <v>57</v>
      </c>
      <c r="L202" t="s">
        <v>21</v>
      </c>
      <c r="M202">
        <v>103</v>
      </c>
      <c r="N202" s="3">
        <v>10115.06</v>
      </c>
      <c r="O202" t="s">
        <v>22</v>
      </c>
    </row>
    <row r="203" spans="1:15" x14ac:dyDescent="0.2">
      <c r="A203" t="s">
        <v>405</v>
      </c>
      <c r="B203" t="s">
        <v>127</v>
      </c>
      <c r="C203">
        <v>59</v>
      </c>
      <c r="D203" t="s">
        <v>48</v>
      </c>
      <c r="E203" t="s">
        <v>83</v>
      </c>
      <c r="F203" t="s">
        <v>27</v>
      </c>
      <c r="G203" s="2">
        <v>45804</v>
      </c>
      <c r="H203" t="s">
        <v>28</v>
      </c>
      <c r="I203" s="3">
        <v>3577786</v>
      </c>
      <c r="J203">
        <v>620</v>
      </c>
      <c r="K203" t="s">
        <v>20</v>
      </c>
      <c r="L203" t="s">
        <v>58</v>
      </c>
      <c r="M203">
        <v>28</v>
      </c>
      <c r="N203" s="3">
        <v>7791.37</v>
      </c>
      <c r="O203" t="s">
        <v>22</v>
      </c>
    </row>
    <row r="204" spans="1:15" x14ac:dyDescent="0.2">
      <c r="A204" t="s">
        <v>406</v>
      </c>
      <c r="B204" t="s">
        <v>390</v>
      </c>
      <c r="C204">
        <v>61</v>
      </c>
      <c r="D204" t="s">
        <v>25</v>
      </c>
      <c r="E204" t="s">
        <v>26</v>
      </c>
      <c r="F204" t="s">
        <v>27</v>
      </c>
      <c r="G204" s="2">
        <v>45805</v>
      </c>
      <c r="H204" t="s">
        <v>44</v>
      </c>
      <c r="I204" s="3">
        <v>3566900</v>
      </c>
      <c r="J204">
        <v>833</v>
      </c>
      <c r="K204" t="s">
        <v>67</v>
      </c>
      <c r="L204" t="s">
        <v>30</v>
      </c>
      <c r="M204">
        <v>65</v>
      </c>
      <c r="N204" s="3">
        <v>7545.3</v>
      </c>
      <c r="O204" t="s">
        <v>22</v>
      </c>
    </row>
    <row r="205" spans="1:15" x14ac:dyDescent="0.2">
      <c r="A205" t="s">
        <v>407</v>
      </c>
      <c r="B205" t="s">
        <v>289</v>
      </c>
      <c r="C205">
        <v>59</v>
      </c>
      <c r="D205" t="s">
        <v>128</v>
      </c>
      <c r="E205" t="s">
        <v>26</v>
      </c>
      <c r="F205" t="s">
        <v>43</v>
      </c>
      <c r="G205" s="2">
        <v>46146</v>
      </c>
      <c r="H205" t="s">
        <v>28</v>
      </c>
      <c r="I205" s="3">
        <v>1434592</v>
      </c>
      <c r="J205">
        <v>586</v>
      </c>
      <c r="K205" t="s">
        <v>34</v>
      </c>
      <c r="L205" t="s">
        <v>21</v>
      </c>
      <c r="M205">
        <v>5</v>
      </c>
      <c r="N205" s="3">
        <v>28162.27</v>
      </c>
      <c r="O205" t="s">
        <v>22</v>
      </c>
    </row>
    <row r="206" spans="1:15" x14ac:dyDescent="0.2">
      <c r="A206" t="s">
        <v>408</v>
      </c>
      <c r="B206" t="s">
        <v>409</v>
      </c>
      <c r="C206">
        <v>33</v>
      </c>
      <c r="D206" t="s">
        <v>128</v>
      </c>
      <c r="E206" t="s">
        <v>26</v>
      </c>
      <c r="F206" t="s">
        <v>100</v>
      </c>
      <c r="G206" s="2">
        <v>46208</v>
      </c>
      <c r="H206" t="s">
        <v>33</v>
      </c>
      <c r="I206" s="3">
        <v>2395977</v>
      </c>
      <c r="J206">
        <v>795</v>
      </c>
      <c r="K206" t="s">
        <v>57</v>
      </c>
      <c r="L206" t="s">
        <v>38</v>
      </c>
      <c r="M206">
        <v>106</v>
      </c>
      <c r="N206" s="3">
        <v>18577.13</v>
      </c>
      <c r="O206" t="s">
        <v>22</v>
      </c>
    </row>
    <row r="207" spans="1:15" x14ac:dyDescent="0.2">
      <c r="A207" t="s">
        <v>410</v>
      </c>
      <c r="B207" t="s">
        <v>85</v>
      </c>
      <c r="C207">
        <v>31</v>
      </c>
      <c r="D207" t="s">
        <v>42</v>
      </c>
      <c r="E207" t="s">
        <v>56</v>
      </c>
      <c r="F207" t="s">
        <v>27</v>
      </c>
      <c r="G207" s="2">
        <v>45995</v>
      </c>
      <c r="H207" t="s">
        <v>28</v>
      </c>
      <c r="I207" s="3">
        <v>2361029</v>
      </c>
      <c r="J207">
        <v>648</v>
      </c>
      <c r="K207" t="s">
        <v>34</v>
      </c>
      <c r="L207" t="s">
        <v>38</v>
      </c>
      <c r="M207">
        <v>22</v>
      </c>
      <c r="N207" s="3">
        <v>13697.67</v>
      </c>
      <c r="O207" t="s">
        <v>22</v>
      </c>
    </row>
    <row r="208" spans="1:15" x14ac:dyDescent="0.2">
      <c r="A208" t="s">
        <v>411</v>
      </c>
      <c r="B208" t="s">
        <v>412</v>
      </c>
      <c r="C208">
        <v>66</v>
      </c>
      <c r="D208" t="s">
        <v>105</v>
      </c>
      <c r="E208" t="s">
        <v>17</v>
      </c>
      <c r="F208" t="s">
        <v>27</v>
      </c>
      <c r="G208" s="2">
        <v>46130</v>
      </c>
      <c r="H208" t="s">
        <v>28</v>
      </c>
      <c r="I208" s="3">
        <v>2476217</v>
      </c>
      <c r="J208">
        <v>648</v>
      </c>
      <c r="K208" t="s">
        <v>86</v>
      </c>
      <c r="L208" t="s">
        <v>30</v>
      </c>
      <c r="M208">
        <v>117</v>
      </c>
      <c r="N208" s="3">
        <v>9830.7900000000009</v>
      </c>
      <c r="O208" t="s">
        <v>22</v>
      </c>
    </row>
    <row r="209" spans="1:15" x14ac:dyDescent="0.2">
      <c r="A209" t="s">
        <v>413</v>
      </c>
      <c r="B209" t="s">
        <v>414</v>
      </c>
      <c r="C209">
        <v>39</v>
      </c>
      <c r="D209" t="s">
        <v>55</v>
      </c>
      <c r="E209" t="s">
        <v>56</v>
      </c>
      <c r="F209" t="s">
        <v>27</v>
      </c>
      <c r="G209" s="2">
        <v>45808</v>
      </c>
      <c r="H209" t="s">
        <v>33</v>
      </c>
      <c r="I209" s="3">
        <v>882731</v>
      </c>
      <c r="J209">
        <v>660</v>
      </c>
      <c r="K209" t="s">
        <v>29</v>
      </c>
      <c r="L209" t="s">
        <v>38</v>
      </c>
      <c r="M209">
        <v>100</v>
      </c>
      <c r="N209" s="3">
        <v>5032.84</v>
      </c>
      <c r="O209" t="s">
        <v>22</v>
      </c>
    </row>
    <row r="210" spans="1:15" x14ac:dyDescent="0.2">
      <c r="A210" t="s">
        <v>415</v>
      </c>
      <c r="B210" t="s">
        <v>416</v>
      </c>
      <c r="C210">
        <v>31</v>
      </c>
      <c r="D210" t="s">
        <v>128</v>
      </c>
      <c r="E210" t="s">
        <v>26</v>
      </c>
      <c r="F210" t="s">
        <v>43</v>
      </c>
      <c r="G210" s="2">
        <v>46072</v>
      </c>
      <c r="H210" t="s">
        <v>33</v>
      </c>
      <c r="I210" s="3">
        <v>611756</v>
      </c>
      <c r="J210">
        <v>609</v>
      </c>
      <c r="K210" t="s">
        <v>67</v>
      </c>
      <c r="L210" t="s">
        <v>38</v>
      </c>
      <c r="M210">
        <v>110</v>
      </c>
      <c r="N210" s="3">
        <v>6489.29</v>
      </c>
      <c r="O210" t="s">
        <v>22</v>
      </c>
    </row>
    <row r="211" spans="1:15" x14ac:dyDescent="0.2">
      <c r="A211" t="s">
        <v>417</v>
      </c>
      <c r="B211" t="s">
        <v>199</v>
      </c>
      <c r="C211">
        <v>33</v>
      </c>
      <c r="D211" t="s">
        <v>42</v>
      </c>
      <c r="E211" t="s">
        <v>26</v>
      </c>
      <c r="F211" t="s">
        <v>27</v>
      </c>
      <c r="G211" s="2">
        <v>45955</v>
      </c>
      <c r="H211" t="s">
        <v>52</v>
      </c>
      <c r="I211" s="3">
        <v>2464826</v>
      </c>
      <c r="J211">
        <v>652</v>
      </c>
      <c r="K211" t="s">
        <v>86</v>
      </c>
      <c r="L211" t="s">
        <v>45</v>
      </c>
      <c r="M211">
        <v>13</v>
      </c>
      <c r="N211" s="3">
        <v>27389.22</v>
      </c>
      <c r="O211" t="s">
        <v>335</v>
      </c>
    </row>
    <row r="212" spans="1:15" x14ac:dyDescent="0.2">
      <c r="A212" t="s">
        <v>418</v>
      </c>
      <c r="B212" t="s">
        <v>130</v>
      </c>
      <c r="C212">
        <v>66</v>
      </c>
      <c r="D212" t="s">
        <v>75</v>
      </c>
      <c r="E212" t="s">
        <v>26</v>
      </c>
      <c r="F212" t="s">
        <v>18</v>
      </c>
      <c r="G212" s="2">
        <v>45920</v>
      </c>
      <c r="H212" t="s">
        <v>28</v>
      </c>
      <c r="I212" s="3">
        <v>3510802</v>
      </c>
      <c r="J212">
        <v>841</v>
      </c>
      <c r="K212" t="s">
        <v>78</v>
      </c>
      <c r="L212" t="s">
        <v>58</v>
      </c>
      <c r="M212">
        <v>65</v>
      </c>
      <c r="N212" s="3">
        <v>24810.63</v>
      </c>
      <c r="O212" t="s">
        <v>22</v>
      </c>
    </row>
    <row r="213" spans="1:15" x14ac:dyDescent="0.2">
      <c r="A213" t="s">
        <v>419</v>
      </c>
      <c r="B213" t="s">
        <v>144</v>
      </c>
      <c r="C213">
        <v>65</v>
      </c>
      <c r="D213" t="s">
        <v>16</v>
      </c>
      <c r="E213" t="s">
        <v>83</v>
      </c>
      <c r="F213" t="s">
        <v>43</v>
      </c>
      <c r="G213" s="2">
        <v>45801</v>
      </c>
      <c r="H213" t="s">
        <v>28</v>
      </c>
      <c r="I213" s="3">
        <v>2271363</v>
      </c>
      <c r="J213">
        <v>668</v>
      </c>
      <c r="K213" t="s">
        <v>86</v>
      </c>
      <c r="L213" t="s">
        <v>38</v>
      </c>
      <c r="M213">
        <v>16</v>
      </c>
      <c r="N213" s="3">
        <v>4532.3599999999997</v>
      </c>
      <c r="O213" t="s">
        <v>22</v>
      </c>
    </row>
    <row r="214" spans="1:15" x14ac:dyDescent="0.2">
      <c r="A214" t="s">
        <v>420</v>
      </c>
      <c r="B214" t="s">
        <v>421</v>
      </c>
      <c r="C214">
        <v>21</v>
      </c>
      <c r="D214" t="s">
        <v>75</v>
      </c>
      <c r="E214" t="s">
        <v>17</v>
      </c>
      <c r="F214" t="s">
        <v>43</v>
      </c>
      <c r="G214" s="2">
        <v>46003</v>
      </c>
      <c r="H214" t="s">
        <v>28</v>
      </c>
      <c r="I214" s="3">
        <v>767257</v>
      </c>
      <c r="J214">
        <v>787</v>
      </c>
      <c r="K214" t="s">
        <v>57</v>
      </c>
      <c r="L214" t="s">
        <v>45</v>
      </c>
      <c r="M214">
        <v>119</v>
      </c>
      <c r="N214" s="3">
        <v>9945.9</v>
      </c>
      <c r="O214" t="s">
        <v>22</v>
      </c>
    </row>
    <row r="215" spans="1:15" x14ac:dyDescent="0.2">
      <c r="A215" t="s">
        <v>422</v>
      </c>
      <c r="B215" t="s">
        <v>423</v>
      </c>
      <c r="C215">
        <v>60</v>
      </c>
      <c r="D215" t="s">
        <v>89</v>
      </c>
      <c r="E215" t="s">
        <v>83</v>
      </c>
      <c r="F215" t="s">
        <v>27</v>
      </c>
      <c r="G215" s="2">
        <v>46229</v>
      </c>
      <c r="H215" t="s">
        <v>19</v>
      </c>
      <c r="I215" s="3">
        <v>1550457</v>
      </c>
      <c r="J215">
        <v>792</v>
      </c>
      <c r="K215" t="s">
        <v>20</v>
      </c>
      <c r="L215" t="s">
        <v>21</v>
      </c>
      <c r="M215">
        <v>105</v>
      </c>
      <c r="N215" s="3">
        <v>15114.21</v>
      </c>
      <c r="O215" t="s">
        <v>22</v>
      </c>
    </row>
    <row r="216" spans="1:15" x14ac:dyDescent="0.2">
      <c r="A216" t="s">
        <v>424</v>
      </c>
      <c r="B216" t="s">
        <v>425</v>
      </c>
      <c r="C216">
        <v>64</v>
      </c>
      <c r="D216" t="s">
        <v>70</v>
      </c>
      <c r="E216" t="s">
        <v>26</v>
      </c>
      <c r="F216" t="s">
        <v>100</v>
      </c>
      <c r="G216" s="2">
        <v>45659</v>
      </c>
      <c r="H216" t="s">
        <v>28</v>
      </c>
      <c r="I216" s="3">
        <v>4475933</v>
      </c>
      <c r="J216">
        <v>845</v>
      </c>
      <c r="K216" t="s">
        <v>29</v>
      </c>
      <c r="L216" t="s">
        <v>38</v>
      </c>
      <c r="M216">
        <v>86</v>
      </c>
      <c r="N216" s="3">
        <v>14112.89</v>
      </c>
      <c r="O216" t="s">
        <v>22</v>
      </c>
    </row>
    <row r="217" spans="1:15" x14ac:dyDescent="0.2">
      <c r="A217" t="s">
        <v>426</v>
      </c>
      <c r="B217" t="s">
        <v>427</v>
      </c>
      <c r="C217">
        <v>39</v>
      </c>
      <c r="D217" t="s">
        <v>25</v>
      </c>
      <c r="E217" t="s">
        <v>17</v>
      </c>
      <c r="F217" t="s">
        <v>27</v>
      </c>
      <c r="G217" s="2">
        <v>45961</v>
      </c>
      <c r="H217" t="s">
        <v>28</v>
      </c>
      <c r="I217" s="3">
        <v>1731257</v>
      </c>
      <c r="J217">
        <v>786</v>
      </c>
      <c r="K217" t="s">
        <v>34</v>
      </c>
      <c r="L217" t="s">
        <v>21</v>
      </c>
      <c r="M217">
        <v>64</v>
      </c>
      <c r="N217" s="3">
        <v>13999.22</v>
      </c>
      <c r="O217" t="s">
        <v>22</v>
      </c>
    </row>
    <row r="218" spans="1:15" x14ac:dyDescent="0.2">
      <c r="A218" t="s">
        <v>428</v>
      </c>
      <c r="B218" t="s">
        <v>429</v>
      </c>
      <c r="C218">
        <v>32</v>
      </c>
      <c r="D218" t="s">
        <v>128</v>
      </c>
      <c r="E218" t="s">
        <v>17</v>
      </c>
      <c r="F218" t="s">
        <v>27</v>
      </c>
      <c r="G218" s="2">
        <v>45911</v>
      </c>
      <c r="H218" t="s">
        <v>28</v>
      </c>
      <c r="I218" s="3">
        <v>2301933</v>
      </c>
      <c r="J218">
        <v>656</v>
      </c>
      <c r="K218" t="s">
        <v>86</v>
      </c>
      <c r="L218" t="s">
        <v>38</v>
      </c>
      <c r="M218">
        <v>32</v>
      </c>
      <c r="N218" s="3">
        <v>2785.89</v>
      </c>
      <c r="O218" t="s">
        <v>22</v>
      </c>
    </row>
    <row r="219" spans="1:15" x14ac:dyDescent="0.2">
      <c r="A219" t="s">
        <v>430</v>
      </c>
      <c r="B219" t="s">
        <v>431</v>
      </c>
      <c r="C219">
        <v>28</v>
      </c>
      <c r="D219" t="s">
        <v>89</v>
      </c>
      <c r="E219" t="s">
        <v>26</v>
      </c>
      <c r="F219" t="s">
        <v>18</v>
      </c>
      <c r="G219" s="2">
        <v>46110</v>
      </c>
      <c r="H219" t="s">
        <v>33</v>
      </c>
      <c r="I219" s="3">
        <v>3149359</v>
      </c>
      <c r="J219">
        <v>626</v>
      </c>
      <c r="K219" t="s">
        <v>86</v>
      </c>
      <c r="L219" t="s">
        <v>30</v>
      </c>
      <c r="M219">
        <v>80</v>
      </c>
      <c r="N219" s="3">
        <v>2617.41</v>
      </c>
      <c r="O219" t="s">
        <v>22</v>
      </c>
    </row>
    <row r="220" spans="1:15" x14ac:dyDescent="0.2">
      <c r="A220" t="s">
        <v>432</v>
      </c>
      <c r="B220" t="s">
        <v>433</v>
      </c>
      <c r="C220">
        <v>28</v>
      </c>
      <c r="D220" t="s">
        <v>51</v>
      </c>
      <c r="E220" t="s">
        <v>56</v>
      </c>
      <c r="F220" t="s">
        <v>43</v>
      </c>
      <c r="G220" s="2">
        <v>45694</v>
      </c>
      <c r="H220" t="s">
        <v>28</v>
      </c>
      <c r="I220" s="3">
        <v>3036719</v>
      </c>
      <c r="J220">
        <v>689</v>
      </c>
      <c r="K220" t="s">
        <v>20</v>
      </c>
      <c r="L220" t="s">
        <v>45</v>
      </c>
      <c r="M220">
        <v>51</v>
      </c>
      <c r="N220" s="3">
        <v>30598.45</v>
      </c>
      <c r="O220" t="s">
        <v>22</v>
      </c>
    </row>
    <row r="221" spans="1:15" x14ac:dyDescent="0.2">
      <c r="A221" t="s">
        <v>434</v>
      </c>
      <c r="B221" t="s">
        <v>313</v>
      </c>
      <c r="C221">
        <v>65</v>
      </c>
      <c r="D221" t="s">
        <v>89</v>
      </c>
      <c r="E221" t="s">
        <v>83</v>
      </c>
      <c r="F221" t="s">
        <v>27</v>
      </c>
      <c r="G221" s="2">
        <v>45817</v>
      </c>
      <c r="H221" t="s">
        <v>44</v>
      </c>
      <c r="I221" s="3">
        <v>3811497</v>
      </c>
      <c r="J221">
        <v>779</v>
      </c>
      <c r="K221" t="s">
        <v>29</v>
      </c>
      <c r="L221" t="s">
        <v>45</v>
      </c>
      <c r="M221">
        <v>79</v>
      </c>
      <c r="N221" s="3">
        <v>43672.61</v>
      </c>
      <c r="O221" t="s">
        <v>22</v>
      </c>
    </row>
    <row r="222" spans="1:15" x14ac:dyDescent="0.2">
      <c r="A222" t="s">
        <v>435</v>
      </c>
      <c r="B222" t="s">
        <v>287</v>
      </c>
      <c r="C222">
        <v>32</v>
      </c>
      <c r="D222" t="s">
        <v>42</v>
      </c>
      <c r="E222" t="s">
        <v>56</v>
      </c>
      <c r="F222" t="s">
        <v>27</v>
      </c>
      <c r="G222" s="2">
        <v>45666</v>
      </c>
      <c r="H222" t="s">
        <v>28</v>
      </c>
      <c r="I222" s="3">
        <v>512199</v>
      </c>
      <c r="J222">
        <v>789</v>
      </c>
      <c r="K222" t="s">
        <v>92</v>
      </c>
      <c r="L222" t="s">
        <v>30</v>
      </c>
      <c r="M222">
        <v>58</v>
      </c>
      <c r="N222" s="3">
        <v>1890.13</v>
      </c>
      <c r="O222" t="s">
        <v>22</v>
      </c>
    </row>
    <row r="223" spans="1:15" x14ac:dyDescent="0.2">
      <c r="A223" t="s">
        <v>436</v>
      </c>
      <c r="B223" t="s">
        <v>289</v>
      </c>
      <c r="C223">
        <v>68</v>
      </c>
      <c r="D223" t="s">
        <v>128</v>
      </c>
      <c r="E223" t="s">
        <v>56</v>
      </c>
      <c r="F223" t="s">
        <v>18</v>
      </c>
      <c r="G223" s="2">
        <v>45890</v>
      </c>
      <c r="I223" s="3">
        <v>3120524</v>
      </c>
      <c r="J223">
        <v>733</v>
      </c>
      <c r="K223" t="s">
        <v>34</v>
      </c>
      <c r="L223" t="s">
        <v>58</v>
      </c>
      <c r="M223">
        <v>46</v>
      </c>
      <c r="N223" s="3">
        <v>8698.0300000000007</v>
      </c>
      <c r="O223" t="s">
        <v>22</v>
      </c>
    </row>
    <row r="224" spans="1:15" x14ac:dyDescent="0.2">
      <c r="A224" t="s">
        <v>437</v>
      </c>
      <c r="B224" t="s">
        <v>154</v>
      </c>
      <c r="C224">
        <v>53</v>
      </c>
      <c r="D224" t="s">
        <v>16</v>
      </c>
      <c r="E224" t="s">
        <v>26</v>
      </c>
      <c r="F224" t="s">
        <v>27</v>
      </c>
      <c r="G224" s="2">
        <v>45756</v>
      </c>
      <c r="H224" t="s">
        <v>28</v>
      </c>
      <c r="I224" s="3">
        <v>1387273</v>
      </c>
      <c r="J224">
        <v>589</v>
      </c>
      <c r="K224" t="s">
        <v>86</v>
      </c>
      <c r="L224" t="s">
        <v>45</v>
      </c>
      <c r="M224">
        <v>52</v>
      </c>
      <c r="N224" s="3">
        <v>21052.05</v>
      </c>
      <c r="O224" t="s">
        <v>22</v>
      </c>
    </row>
    <row r="225" spans="1:15" x14ac:dyDescent="0.2">
      <c r="A225" t="s">
        <v>438</v>
      </c>
      <c r="B225" t="s">
        <v>439</v>
      </c>
      <c r="C225">
        <v>65</v>
      </c>
      <c r="D225" t="s">
        <v>70</v>
      </c>
      <c r="E225" t="s">
        <v>26</v>
      </c>
      <c r="F225" t="s">
        <v>18</v>
      </c>
      <c r="G225" s="2">
        <v>45865</v>
      </c>
      <c r="H225" t="s">
        <v>33</v>
      </c>
      <c r="I225" s="3">
        <v>4117293</v>
      </c>
      <c r="J225">
        <v>736</v>
      </c>
      <c r="K225" t="s">
        <v>86</v>
      </c>
      <c r="L225" t="s">
        <v>21</v>
      </c>
      <c r="M225">
        <v>106</v>
      </c>
      <c r="N225" s="3">
        <v>885.39</v>
      </c>
      <c r="O225" t="s">
        <v>39</v>
      </c>
    </row>
    <row r="226" spans="1:15" x14ac:dyDescent="0.2">
      <c r="A226" t="s">
        <v>440</v>
      </c>
      <c r="B226" t="s">
        <v>311</v>
      </c>
      <c r="C226">
        <v>46</v>
      </c>
      <c r="D226" t="s">
        <v>42</v>
      </c>
      <c r="E226" t="s">
        <v>83</v>
      </c>
      <c r="F226" t="s">
        <v>43</v>
      </c>
      <c r="G226" s="2">
        <v>45788</v>
      </c>
      <c r="H226" t="s">
        <v>44</v>
      </c>
      <c r="I226" s="3">
        <v>283734</v>
      </c>
      <c r="J226">
        <v>840</v>
      </c>
      <c r="K226" t="s">
        <v>92</v>
      </c>
      <c r="L226" t="s">
        <v>45</v>
      </c>
      <c r="M226">
        <v>117</v>
      </c>
      <c r="N226" s="3">
        <v>2901.54</v>
      </c>
      <c r="O226" t="s">
        <v>22</v>
      </c>
    </row>
    <row r="227" spans="1:15" x14ac:dyDescent="0.2">
      <c r="A227" t="s">
        <v>441</v>
      </c>
      <c r="B227" t="s">
        <v>323</v>
      </c>
      <c r="C227">
        <v>59</v>
      </c>
      <c r="D227" t="s">
        <v>42</v>
      </c>
      <c r="E227" t="s">
        <v>26</v>
      </c>
      <c r="F227" t="s">
        <v>27</v>
      </c>
      <c r="G227" s="2">
        <v>46061</v>
      </c>
      <c r="H227" t="s">
        <v>28</v>
      </c>
      <c r="I227" s="3">
        <v>463299</v>
      </c>
      <c r="J227">
        <v>656</v>
      </c>
      <c r="K227" t="s">
        <v>34</v>
      </c>
      <c r="L227" t="s">
        <v>58</v>
      </c>
      <c r="M227">
        <v>63</v>
      </c>
      <c r="N227" s="3">
        <v>8129</v>
      </c>
      <c r="O227" t="s">
        <v>22</v>
      </c>
    </row>
    <row r="228" spans="1:15" x14ac:dyDescent="0.2">
      <c r="A228" t="s">
        <v>442</v>
      </c>
      <c r="B228" t="s">
        <v>362</v>
      </c>
      <c r="C228">
        <v>48</v>
      </c>
      <c r="D228" t="s">
        <v>25</v>
      </c>
      <c r="E228" t="s">
        <v>56</v>
      </c>
      <c r="F228" t="s">
        <v>27</v>
      </c>
      <c r="G228" s="2">
        <v>45809</v>
      </c>
      <c r="H228" t="s">
        <v>19</v>
      </c>
      <c r="I228" s="3">
        <v>3021034</v>
      </c>
      <c r="J228">
        <v>836</v>
      </c>
      <c r="K228" t="s">
        <v>57</v>
      </c>
      <c r="L228" t="s">
        <v>21</v>
      </c>
      <c r="M228">
        <v>76</v>
      </c>
      <c r="N228" s="3">
        <v>4783.3599999999997</v>
      </c>
      <c r="O228" t="s">
        <v>22</v>
      </c>
    </row>
    <row r="229" spans="1:15" x14ac:dyDescent="0.2">
      <c r="A229" t="s">
        <v>443</v>
      </c>
      <c r="B229" t="s">
        <v>167</v>
      </c>
      <c r="C229">
        <v>25</v>
      </c>
      <c r="D229" t="s">
        <v>25</v>
      </c>
      <c r="E229" t="s">
        <v>56</v>
      </c>
      <c r="F229" t="s">
        <v>27</v>
      </c>
      <c r="G229" s="2">
        <v>45711</v>
      </c>
      <c r="H229" t="s">
        <v>28</v>
      </c>
      <c r="I229" s="3">
        <v>392728</v>
      </c>
      <c r="J229">
        <v>710</v>
      </c>
      <c r="K229" t="s">
        <v>57</v>
      </c>
      <c r="L229" t="s">
        <v>21</v>
      </c>
      <c r="M229">
        <v>60</v>
      </c>
      <c r="N229" s="3">
        <v>11154.53</v>
      </c>
      <c r="O229" t="s">
        <v>22</v>
      </c>
    </row>
    <row r="230" spans="1:15" x14ac:dyDescent="0.2">
      <c r="A230" t="s">
        <v>444</v>
      </c>
      <c r="B230" t="s">
        <v>445</v>
      </c>
      <c r="C230">
        <v>28</v>
      </c>
      <c r="D230" t="s">
        <v>55</v>
      </c>
      <c r="E230" t="s">
        <v>17</v>
      </c>
      <c r="F230" t="s">
        <v>18</v>
      </c>
      <c r="G230" s="2">
        <v>45777</v>
      </c>
      <c r="H230" t="s">
        <v>19</v>
      </c>
      <c r="I230" s="3">
        <v>921253</v>
      </c>
      <c r="J230">
        <v>646</v>
      </c>
      <c r="K230" t="s">
        <v>67</v>
      </c>
      <c r="L230" t="s">
        <v>30</v>
      </c>
      <c r="M230">
        <v>65</v>
      </c>
      <c r="N230" s="3">
        <v>41940.449999999997</v>
      </c>
      <c r="O230" t="s">
        <v>335</v>
      </c>
    </row>
    <row r="231" spans="1:15" x14ac:dyDescent="0.2">
      <c r="A231" t="s">
        <v>446</v>
      </c>
      <c r="B231" t="s">
        <v>238</v>
      </c>
      <c r="C231">
        <v>45</v>
      </c>
      <c r="D231" t="s">
        <v>55</v>
      </c>
      <c r="E231" t="s">
        <v>83</v>
      </c>
      <c r="F231" t="s">
        <v>43</v>
      </c>
      <c r="G231" s="2">
        <v>46244</v>
      </c>
      <c r="H231" t="s">
        <v>33</v>
      </c>
      <c r="I231" s="3">
        <v>1803185</v>
      </c>
      <c r="J231">
        <v>807</v>
      </c>
      <c r="K231" t="s">
        <v>67</v>
      </c>
      <c r="L231" t="s">
        <v>38</v>
      </c>
      <c r="M231">
        <v>117</v>
      </c>
      <c r="N231" s="3">
        <v>3657.6</v>
      </c>
      <c r="O231" t="s">
        <v>22</v>
      </c>
    </row>
    <row r="232" spans="1:15" x14ac:dyDescent="0.2">
      <c r="A232" t="s">
        <v>447</v>
      </c>
      <c r="B232" t="s">
        <v>448</v>
      </c>
      <c r="C232">
        <v>47</v>
      </c>
      <c r="D232" t="s">
        <v>48</v>
      </c>
      <c r="E232" t="s">
        <v>26</v>
      </c>
      <c r="F232" t="s">
        <v>27</v>
      </c>
      <c r="G232" s="2">
        <v>46077</v>
      </c>
      <c r="H232" t="s">
        <v>28</v>
      </c>
      <c r="I232" s="3">
        <v>1256152</v>
      </c>
      <c r="J232">
        <v>742</v>
      </c>
      <c r="K232" t="s">
        <v>78</v>
      </c>
      <c r="L232" t="s">
        <v>30</v>
      </c>
      <c r="M232">
        <v>81</v>
      </c>
      <c r="N232" s="3">
        <v>9440.7099999999991</v>
      </c>
      <c r="O232" t="s">
        <v>22</v>
      </c>
    </row>
    <row r="233" spans="1:15" x14ac:dyDescent="0.2">
      <c r="A233" t="s">
        <v>449</v>
      </c>
      <c r="B233" t="s">
        <v>80</v>
      </c>
      <c r="C233">
        <v>66</v>
      </c>
      <c r="D233" t="s">
        <v>105</v>
      </c>
      <c r="E233" t="s">
        <v>26</v>
      </c>
      <c r="F233" t="s">
        <v>43</v>
      </c>
      <c r="G233" s="2">
        <v>46079</v>
      </c>
      <c r="H233" t="s">
        <v>28</v>
      </c>
      <c r="I233" s="3">
        <v>943812</v>
      </c>
      <c r="J233">
        <v>594</v>
      </c>
      <c r="K233" t="s">
        <v>20</v>
      </c>
      <c r="L233" t="s">
        <v>38</v>
      </c>
      <c r="M233">
        <v>105</v>
      </c>
      <c r="N233" s="3">
        <v>6235.19</v>
      </c>
      <c r="O233" t="s">
        <v>22</v>
      </c>
    </row>
    <row r="234" spans="1:15" x14ac:dyDescent="0.2">
      <c r="A234" t="s">
        <v>450</v>
      </c>
      <c r="B234" t="s">
        <v>451</v>
      </c>
      <c r="C234">
        <v>43</v>
      </c>
      <c r="D234" t="s">
        <v>128</v>
      </c>
      <c r="E234" t="s">
        <v>26</v>
      </c>
      <c r="F234" t="s">
        <v>100</v>
      </c>
      <c r="G234" s="2">
        <v>45761</v>
      </c>
      <c r="H234" t="s">
        <v>28</v>
      </c>
      <c r="I234" s="3">
        <v>1967202</v>
      </c>
      <c r="J234">
        <v>811</v>
      </c>
      <c r="K234" t="s">
        <v>29</v>
      </c>
      <c r="L234" t="s">
        <v>30</v>
      </c>
      <c r="M234">
        <v>55</v>
      </c>
      <c r="N234" s="3">
        <v>10333.879999999999</v>
      </c>
      <c r="O234" t="s">
        <v>22</v>
      </c>
    </row>
    <row r="235" spans="1:15" x14ac:dyDescent="0.2">
      <c r="A235" t="s">
        <v>452</v>
      </c>
      <c r="B235" t="s">
        <v>453</v>
      </c>
      <c r="C235">
        <v>50</v>
      </c>
      <c r="D235" t="s">
        <v>128</v>
      </c>
      <c r="E235" t="s">
        <v>26</v>
      </c>
      <c r="F235" t="s">
        <v>27</v>
      </c>
      <c r="G235" s="2">
        <v>45911</v>
      </c>
      <c r="H235" t="s">
        <v>28</v>
      </c>
      <c r="I235" s="3">
        <v>3512331</v>
      </c>
      <c r="J235">
        <v>774</v>
      </c>
      <c r="K235" t="s">
        <v>86</v>
      </c>
      <c r="L235" t="s">
        <v>38</v>
      </c>
      <c r="M235">
        <v>115</v>
      </c>
      <c r="N235" s="3">
        <v>9010</v>
      </c>
      <c r="O235" t="s">
        <v>22</v>
      </c>
    </row>
    <row r="236" spans="1:15" x14ac:dyDescent="0.2">
      <c r="A236" t="s">
        <v>454</v>
      </c>
      <c r="B236" t="s">
        <v>455</v>
      </c>
      <c r="C236">
        <v>65</v>
      </c>
      <c r="D236" t="s">
        <v>37</v>
      </c>
      <c r="E236" t="s">
        <v>26</v>
      </c>
      <c r="F236" t="s">
        <v>100</v>
      </c>
      <c r="G236" s="2">
        <v>45884</v>
      </c>
      <c r="H236" t="s">
        <v>28</v>
      </c>
      <c r="I236" s="3">
        <v>4243767</v>
      </c>
      <c r="J236">
        <v>609</v>
      </c>
      <c r="K236" t="s">
        <v>34</v>
      </c>
      <c r="L236" t="s">
        <v>45</v>
      </c>
      <c r="M236">
        <v>57</v>
      </c>
      <c r="N236" s="3">
        <v>142779.69</v>
      </c>
      <c r="O236" t="s">
        <v>22</v>
      </c>
    </row>
    <row r="237" spans="1:15" x14ac:dyDescent="0.2">
      <c r="A237" t="s">
        <v>456</v>
      </c>
      <c r="B237" t="s">
        <v>327</v>
      </c>
      <c r="C237">
        <v>67</v>
      </c>
      <c r="D237" t="s">
        <v>89</v>
      </c>
      <c r="E237" t="s">
        <v>26</v>
      </c>
      <c r="F237" t="s">
        <v>27</v>
      </c>
      <c r="G237" s="2">
        <v>45769</v>
      </c>
      <c r="H237" t="s">
        <v>28</v>
      </c>
      <c r="I237" s="3">
        <v>4075091</v>
      </c>
      <c r="J237">
        <v>799</v>
      </c>
      <c r="K237" t="s">
        <v>86</v>
      </c>
      <c r="L237" t="s">
        <v>21</v>
      </c>
      <c r="M237">
        <v>114</v>
      </c>
      <c r="N237" s="3">
        <v>42789.86</v>
      </c>
      <c r="O237" t="s">
        <v>22</v>
      </c>
    </row>
    <row r="238" spans="1:15" x14ac:dyDescent="0.2">
      <c r="A238" t="s">
        <v>457</v>
      </c>
      <c r="B238" t="s">
        <v>458</v>
      </c>
      <c r="C238">
        <v>43</v>
      </c>
      <c r="D238" t="s">
        <v>128</v>
      </c>
      <c r="E238" t="s">
        <v>56</v>
      </c>
      <c r="F238" t="s">
        <v>27</v>
      </c>
      <c r="G238" s="2">
        <v>46167</v>
      </c>
      <c r="H238" t="s">
        <v>28</v>
      </c>
      <c r="I238" s="3">
        <v>902168</v>
      </c>
      <c r="J238">
        <v>726</v>
      </c>
      <c r="K238" t="s">
        <v>67</v>
      </c>
      <c r="L238" t="s">
        <v>38</v>
      </c>
      <c r="M238">
        <v>92</v>
      </c>
      <c r="N238" s="3">
        <v>1702.78</v>
      </c>
      <c r="O238" t="s">
        <v>22</v>
      </c>
    </row>
    <row r="239" spans="1:15" x14ac:dyDescent="0.2">
      <c r="A239" t="s">
        <v>459</v>
      </c>
      <c r="B239" t="s">
        <v>460</v>
      </c>
      <c r="C239">
        <v>69</v>
      </c>
      <c r="D239" t="s">
        <v>128</v>
      </c>
      <c r="E239" t="s">
        <v>83</v>
      </c>
      <c r="F239" t="s">
        <v>27</v>
      </c>
      <c r="G239" s="2">
        <v>46130</v>
      </c>
      <c r="H239" t="s">
        <v>52</v>
      </c>
      <c r="I239" s="3">
        <v>3939638</v>
      </c>
      <c r="J239">
        <v>838</v>
      </c>
      <c r="K239" t="s">
        <v>78</v>
      </c>
      <c r="L239" t="s">
        <v>45</v>
      </c>
      <c r="M239">
        <v>71</v>
      </c>
      <c r="N239" s="3">
        <v>3480.25</v>
      </c>
      <c r="O239" t="s">
        <v>22</v>
      </c>
    </row>
    <row r="240" spans="1:15" x14ac:dyDescent="0.2">
      <c r="A240" t="s">
        <v>461</v>
      </c>
      <c r="B240" t="s">
        <v>338</v>
      </c>
      <c r="C240">
        <v>67</v>
      </c>
      <c r="D240" t="s">
        <v>105</v>
      </c>
      <c r="E240" t="s">
        <v>26</v>
      </c>
      <c r="F240" t="s">
        <v>27</v>
      </c>
      <c r="G240" s="2">
        <v>45756</v>
      </c>
      <c r="H240" t="s">
        <v>28</v>
      </c>
      <c r="I240" s="3">
        <v>1445055</v>
      </c>
      <c r="J240">
        <v>722</v>
      </c>
      <c r="K240" t="s">
        <v>34</v>
      </c>
      <c r="L240" t="s">
        <v>58</v>
      </c>
      <c r="M240">
        <v>73</v>
      </c>
      <c r="N240" s="3">
        <v>3957.03</v>
      </c>
      <c r="O240" t="s">
        <v>22</v>
      </c>
    </row>
    <row r="241" spans="1:15" x14ac:dyDescent="0.2">
      <c r="A241" t="s">
        <v>462</v>
      </c>
      <c r="B241" t="s">
        <v>463</v>
      </c>
      <c r="C241">
        <v>40</v>
      </c>
      <c r="D241" t="s">
        <v>51</v>
      </c>
      <c r="E241" t="s">
        <v>26</v>
      </c>
      <c r="F241" t="s">
        <v>27</v>
      </c>
      <c r="G241" s="2">
        <v>45810</v>
      </c>
      <c r="H241" t="s">
        <v>28</v>
      </c>
      <c r="I241" s="3">
        <v>1458957</v>
      </c>
      <c r="J241">
        <v>814</v>
      </c>
      <c r="K241" t="s">
        <v>34</v>
      </c>
      <c r="L241" t="s">
        <v>30</v>
      </c>
      <c r="M241">
        <v>86</v>
      </c>
      <c r="N241" s="3">
        <v>2450.41</v>
      </c>
      <c r="O241" t="s">
        <v>39</v>
      </c>
    </row>
    <row r="242" spans="1:15" x14ac:dyDescent="0.2">
      <c r="A242" t="s">
        <v>464</v>
      </c>
      <c r="B242" t="s">
        <v>117</v>
      </c>
      <c r="C242">
        <v>38</v>
      </c>
      <c r="D242" t="s">
        <v>55</v>
      </c>
      <c r="E242" t="s">
        <v>83</v>
      </c>
      <c r="F242" t="s">
        <v>27</v>
      </c>
      <c r="G242" s="2">
        <v>45995</v>
      </c>
      <c r="H242" t="s">
        <v>33</v>
      </c>
      <c r="I242" s="3">
        <v>1391766</v>
      </c>
      <c r="J242">
        <v>694</v>
      </c>
      <c r="K242" t="s">
        <v>86</v>
      </c>
      <c r="L242" t="s">
        <v>58</v>
      </c>
      <c r="M242">
        <v>26</v>
      </c>
      <c r="N242" s="3">
        <v>2128.6</v>
      </c>
      <c r="O242" t="s">
        <v>22</v>
      </c>
    </row>
    <row r="243" spans="1:15" x14ac:dyDescent="0.2">
      <c r="A243" t="s">
        <v>465</v>
      </c>
      <c r="B243" t="s">
        <v>409</v>
      </c>
      <c r="C243">
        <v>38</v>
      </c>
      <c r="D243" t="s">
        <v>55</v>
      </c>
      <c r="E243" t="s">
        <v>26</v>
      </c>
      <c r="F243" t="s">
        <v>100</v>
      </c>
      <c r="G243" s="2">
        <v>45820</v>
      </c>
      <c r="H243" t="s">
        <v>28</v>
      </c>
      <c r="I243" s="3">
        <v>1026644</v>
      </c>
      <c r="J243">
        <v>669</v>
      </c>
      <c r="K243" t="s">
        <v>20</v>
      </c>
      <c r="L243" t="s">
        <v>45</v>
      </c>
      <c r="M243">
        <v>117</v>
      </c>
      <c r="N243" s="3">
        <v>7425.8</v>
      </c>
      <c r="O243" t="s">
        <v>22</v>
      </c>
    </row>
    <row r="244" spans="1:15" x14ac:dyDescent="0.2">
      <c r="A244" t="s">
        <v>466</v>
      </c>
      <c r="B244" t="s">
        <v>91</v>
      </c>
      <c r="C244">
        <v>22</v>
      </c>
      <c r="D244" t="s">
        <v>16</v>
      </c>
      <c r="E244" t="s">
        <v>26</v>
      </c>
      <c r="F244" t="s">
        <v>18</v>
      </c>
      <c r="G244" s="2">
        <v>45818</v>
      </c>
      <c r="H244" t="s">
        <v>28</v>
      </c>
      <c r="I244" s="3">
        <v>3613712</v>
      </c>
      <c r="J244">
        <v>787</v>
      </c>
      <c r="K244" t="s">
        <v>78</v>
      </c>
      <c r="L244" t="s">
        <v>58</v>
      </c>
      <c r="M244">
        <v>12</v>
      </c>
      <c r="N244" s="3">
        <v>4118.84</v>
      </c>
      <c r="O244" t="s">
        <v>22</v>
      </c>
    </row>
    <row r="245" spans="1:15" x14ac:dyDescent="0.2">
      <c r="A245" t="s">
        <v>467</v>
      </c>
      <c r="B245" t="s">
        <v>64</v>
      </c>
      <c r="C245">
        <v>24</v>
      </c>
      <c r="D245" t="s">
        <v>128</v>
      </c>
      <c r="E245" t="s">
        <v>26</v>
      </c>
      <c r="F245" t="s">
        <v>18</v>
      </c>
      <c r="G245" s="2">
        <v>46237</v>
      </c>
      <c r="H245" t="s">
        <v>28</v>
      </c>
      <c r="I245" s="3">
        <v>774658</v>
      </c>
      <c r="J245">
        <v>743</v>
      </c>
      <c r="K245" t="s">
        <v>20</v>
      </c>
      <c r="L245" t="s">
        <v>58</v>
      </c>
      <c r="M245">
        <v>71</v>
      </c>
      <c r="N245" s="3">
        <v>3514.55</v>
      </c>
      <c r="O245" t="s">
        <v>39</v>
      </c>
    </row>
    <row r="246" spans="1:15" x14ac:dyDescent="0.2">
      <c r="A246" t="s">
        <v>468</v>
      </c>
      <c r="B246" t="s">
        <v>469</v>
      </c>
      <c r="C246">
        <v>50</v>
      </c>
      <c r="D246" t="s">
        <v>105</v>
      </c>
      <c r="E246" t="s">
        <v>17</v>
      </c>
      <c r="F246" t="s">
        <v>27</v>
      </c>
      <c r="G246" s="2">
        <v>46055</v>
      </c>
      <c r="H246" t="s">
        <v>44</v>
      </c>
      <c r="I246" s="3">
        <v>1036918</v>
      </c>
      <c r="J246">
        <v>663</v>
      </c>
      <c r="K246" t="s">
        <v>78</v>
      </c>
      <c r="L246" t="s">
        <v>45</v>
      </c>
      <c r="M246">
        <v>46</v>
      </c>
      <c r="N246" s="3">
        <v>74719.600000000006</v>
      </c>
      <c r="O246" t="s">
        <v>22</v>
      </c>
    </row>
    <row r="247" spans="1:15" x14ac:dyDescent="0.2">
      <c r="A247" t="s">
        <v>470</v>
      </c>
      <c r="B247" t="s">
        <v>102</v>
      </c>
      <c r="C247">
        <v>53</v>
      </c>
      <c r="D247" t="s">
        <v>70</v>
      </c>
      <c r="E247" t="s">
        <v>26</v>
      </c>
      <c r="F247" t="s">
        <v>27</v>
      </c>
      <c r="G247" s="2">
        <v>45934</v>
      </c>
      <c r="H247" t="s">
        <v>44</v>
      </c>
      <c r="I247" s="3">
        <v>253196</v>
      </c>
      <c r="J247">
        <v>656</v>
      </c>
      <c r="K247" t="s">
        <v>86</v>
      </c>
      <c r="L247" t="s">
        <v>21</v>
      </c>
      <c r="M247">
        <v>47</v>
      </c>
      <c r="N247" s="3">
        <v>4427.45</v>
      </c>
      <c r="O247" t="s">
        <v>22</v>
      </c>
    </row>
    <row r="248" spans="1:15" x14ac:dyDescent="0.2">
      <c r="A248" t="s">
        <v>471</v>
      </c>
      <c r="B248" t="s">
        <v>196</v>
      </c>
      <c r="C248">
        <v>56</v>
      </c>
      <c r="D248" t="s">
        <v>55</v>
      </c>
      <c r="E248" t="s">
        <v>83</v>
      </c>
      <c r="F248" t="s">
        <v>27</v>
      </c>
      <c r="G248" s="2">
        <v>46161</v>
      </c>
      <c r="H248" t="s">
        <v>28</v>
      </c>
      <c r="I248" s="3">
        <v>1799648</v>
      </c>
      <c r="J248">
        <v>740</v>
      </c>
      <c r="K248" t="s">
        <v>78</v>
      </c>
      <c r="L248" t="s">
        <v>38</v>
      </c>
      <c r="M248">
        <v>79</v>
      </c>
      <c r="N248" s="3">
        <v>5623.3</v>
      </c>
      <c r="O248" t="s">
        <v>22</v>
      </c>
    </row>
    <row r="249" spans="1:15" x14ac:dyDescent="0.2">
      <c r="A249" t="s">
        <v>472</v>
      </c>
      <c r="B249" t="s">
        <v>154</v>
      </c>
      <c r="C249">
        <v>38</v>
      </c>
      <c r="D249" t="s">
        <v>105</v>
      </c>
      <c r="E249" t="s">
        <v>26</v>
      </c>
      <c r="F249" t="s">
        <v>18</v>
      </c>
      <c r="G249" s="2">
        <v>46049</v>
      </c>
      <c r="H249" t="s">
        <v>33</v>
      </c>
      <c r="I249" s="3">
        <v>3907919</v>
      </c>
      <c r="J249">
        <v>584</v>
      </c>
      <c r="K249" t="s">
        <v>57</v>
      </c>
      <c r="M249">
        <v>38</v>
      </c>
      <c r="N249" s="3">
        <v>19507.009999999998</v>
      </c>
      <c r="O249" t="s">
        <v>22</v>
      </c>
    </row>
    <row r="250" spans="1:15" x14ac:dyDescent="0.2">
      <c r="A250" t="s">
        <v>473</v>
      </c>
      <c r="B250" t="s">
        <v>169</v>
      </c>
      <c r="C250">
        <v>57</v>
      </c>
      <c r="D250" t="s">
        <v>75</v>
      </c>
      <c r="E250" t="s">
        <v>26</v>
      </c>
      <c r="F250" t="s">
        <v>100</v>
      </c>
      <c r="G250" s="2">
        <v>45792</v>
      </c>
      <c r="H250" t="s">
        <v>33</v>
      </c>
      <c r="I250" s="3">
        <v>3928588</v>
      </c>
      <c r="J250">
        <v>657</v>
      </c>
      <c r="K250" t="s">
        <v>34</v>
      </c>
      <c r="L250" t="s">
        <v>38</v>
      </c>
      <c r="M250">
        <v>21</v>
      </c>
      <c r="N250" s="3">
        <v>5603.49</v>
      </c>
      <c r="O250" t="s">
        <v>22</v>
      </c>
    </row>
    <row r="251" spans="1:15" x14ac:dyDescent="0.2">
      <c r="A251" t="s">
        <v>474</v>
      </c>
      <c r="B251" t="s">
        <v>475</v>
      </c>
      <c r="C251">
        <v>39</v>
      </c>
      <c r="D251" t="s">
        <v>51</v>
      </c>
      <c r="E251" t="s">
        <v>26</v>
      </c>
      <c r="F251" t="s">
        <v>27</v>
      </c>
      <c r="G251" s="2">
        <v>45852</v>
      </c>
      <c r="H251" t="s">
        <v>33</v>
      </c>
      <c r="I251" s="3">
        <v>2853680</v>
      </c>
      <c r="J251">
        <v>670</v>
      </c>
      <c r="K251" t="s">
        <v>29</v>
      </c>
      <c r="L251" t="s">
        <v>30</v>
      </c>
      <c r="M251">
        <v>14</v>
      </c>
      <c r="N251" s="3">
        <v>2633.43</v>
      </c>
      <c r="O251" t="s">
        <v>22</v>
      </c>
    </row>
    <row r="252" spans="1:15" x14ac:dyDescent="0.2">
      <c r="A252" t="s">
        <v>476</v>
      </c>
      <c r="B252" t="s">
        <v>248</v>
      </c>
      <c r="C252">
        <v>67</v>
      </c>
      <c r="D252" t="s">
        <v>128</v>
      </c>
      <c r="E252" t="s">
        <v>26</v>
      </c>
      <c r="F252" t="s">
        <v>27</v>
      </c>
      <c r="G252" s="2">
        <v>46058</v>
      </c>
      <c r="H252" t="s">
        <v>33</v>
      </c>
      <c r="I252" s="3">
        <v>1720017</v>
      </c>
      <c r="J252">
        <v>666</v>
      </c>
      <c r="K252" t="s">
        <v>86</v>
      </c>
      <c r="L252" t="s">
        <v>38</v>
      </c>
      <c r="M252">
        <v>2</v>
      </c>
      <c r="N252" s="3">
        <v>6830.57</v>
      </c>
      <c r="O252" t="s">
        <v>22</v>
      </c>
    </row>
    <row r="253" spans="1:15" x14ac:dyDescent="0.2">
      <c r="A253" t="s">
        <v>477</v>
      </c>
      <c r="B253" t="s">
        <v>478</v>
      </c>
      <c r="C253">
        <v>48</v>
      </c>
      <c r="D253" t="s">
        <v>16</v>
      </c>
      <c r="E253" t="s">
        <v>17</v>
      </c>
      <c r="F253" t="s">
        <v>43</v>
      </c>
      <c r="G253" s="2">
        <v>45690</v>
      </c>
      <c r="H253" t="s">
        <v>33</v>
      </c>
      <c r="I253" s="3">
        <v>2917293</v>
      </c>
      <c r="J253">
        <v>849</v>
      </c>
      <c r="K253" t="s">
        <v>92</v>
      </c>
      <c r="L253" t="s">
        <v>58</v>
      </c>
      <c r="M253">
        <v>72</v>
      </c>
      <c r="N253" s="3">
        <v>73804.14</v>
      </c>
      <c r="O253" t="s">
        <v>22</v>
      </c>
    </row>
    <row r="254" spans="1:15" x14ac:dyDescent="0.2">
      <c r="A254" t="s">
        <v>479</v>
      </c>
      <c r="B254" t="s">
        <v>287</v>
      </c>
      <c r="C254">
        <v>60</v>
      </c>
      <c r="D254" t="s">
        <v>89</v>
      </c>
      <c r="E254" t="s">
        <v>56</v>
      </c>
      <c r="F254" t="s">
        <v>27</v>
      </c>
      <c r="G254" s="2">
        <v>46117</v>
      </c>
      <c r="H254" t="s">
        <v>28</v>
      </c>
      <c r="I254" s="3">
        <v>3034787</v>
      </c>
      <c r="J254">
        <v>683</v>
      </c>
      <c r="K254" t="s">
        <v>29</v>
      </c>
      <c r="L254" t="s">
        <v>21</v>
      </c>
      <c r="M254">
        <v>109</v>
      </c>
      <c r="N254" s="3">
        <v>5401.79</v>
      </c>
      <c r="O254" t="s">
        <v>22</v>
      </c>
    </row>
    <row r="255" spans="1:15" x14ac:dyDescent="0.2">
      <c r="A255" t="s">
        <v>480</v>
      </c>
      <c r="B255" t="s">
        <v>481</v>
      </c>
      <c r="C255">
        <v>40</v>
      </c>
      <c r="D255" t="s">
        <v>55</v>
      </c>
      <c r="E255" t="s">
        <v>56</v>
      </c>
      <c r="F255" t="s">
        <v>27</v>
      </c>
      <c r="G255" s="2">
        <v>46127</v>
      </c>
      <c r="H255" t="s">
        <v>28</v>
      </c>
      <c r="I255" s="3">
        <v>1108811</v>
      </c>
      <c r="J255">
        <v>754</v>
      </c>
      <c r="K255" t="s">
        <v>86</v>
      </c>
      <c r="L255" t="s">
        <v>58</v>
      </c>
      <c r="M255">
        <v>119</v>
      </c>
      <c r="N255" s="3">
        <v>3438</v>
      </c>
      <c r="O255" t="s">
        <v>39</v>
      </c>
    </row>
    <row r="256" spans="1:15" x14ac:dyDescent="0.2">
      <c r="A256" t="s">
        <v>482</v>
      </c>
      <c r="B256" t="s">
        <v>179</v>
      </c>
      <c r="C256">
        <v>69</v>
      </c>
      <c r="D256" t="s">
        <v>75</v>
      </c>
      <c r="E256" t="s">
        <v>17</v>
      </c>
      <c r="F256" t="s">
        <v>43</v>
      </c>
      <c r="G256" s="2">
        <v>46032</v>
      </c>
      <c r="H256" t="s">
        <v>28</v>
      </c>
      <c r="I256" s="3">
        <v>4314337</v>
      </c>
      <c r="J256">
        <v>633</v>
      </c>
      <c r="K256" t="s">
        <v>29</v>
      </c>
      <c r="L256" t="s">
        <v>21</v>
      </c>
      <c r="M256">
        <v>70</v>
      </c>
      <c r="N256" s="3">
        <v>13922.23</v>
      </c>
      <c r="O256" t="s">
        <v>22</v>
      </c>
    </row>
    <row r="257" spans="1:15" x14ac:dyDescent="0.2">
      <c r="A257" t="s">
        <v>483</v>
      </c>
      <c r="B257" t="s">
        <v>484</v>
      </c>
      <c r="C257">
        <v>53</v>
      </c>
      <c r="D257" t="s">
        <v>70</v>
      </c>
      <c r="E257" t="s">
        <v>56</v>
      </c>
      <c r="F257" t="s">
        <v>18</v>
      </c>
      <c r="G257" s="2">
        <v>45679</v>
      </c>
      <c r="H257" t="s">
        <v>44</v>
      </c>
      <c r="I257" s="3">
        <v>2914649</v>
      </c>
      <c r="J257">
        <v>790</v>
      </c>
      <c r="K257" t="s">
        <v>57</v>
      </c>
      <c r="L257" t="s">
        <v>45</v>
      </c>
      <c r="M257">
        <v>101</v>
      </c>
      <c r="N257" s="3">
        <v>6495.01</v>
      </c>
      <c r="O257" t="s">
        <v>22</v>
      </c>
    </row>
    <row r="258" spans="1:15" x14ac:dyDescent="0.2">
      <c r="A258" t="s">
        <v>485</v>
      </c>
      <c r="B258" t="s">
        <v>486</v>
      </c>
      <c r="C258">
        <v>32</v>
      </c>
      <c r="D258" t="s">
        <v>105</v>
      </c>
      <c r="E258" t="s">
        <v>56</v>
      </c>
      <c r="F258" t="s">
        <v>27</v>
      </c>
      <c r="G258" s="2">
        <v>45695</v>
      </c>
      <c r="H258" t="s">
        <v>33</v>
      </c>
      <c r="I258" s="3">
        <v>3886119</v>
      </c>
      <c r="J258">
        <v>674</v>
      </c>
      <c r="K258" t="s">
        <v>29</v>
      </c>
      <c r="L258" t="s">
        <v>30</v>
      </c>
      <c r="M258">
        <v>101</v>
      </c>
      <c r="N258" s="3">
        <v>158886.25</v>
      </c>
      <c r="O258" t="s">
        <v>39</v>
      </c>
    </row>
    <row r="259" spans="1:15" x14ac:dyDescent="0.2">
      <c r="A259" t="s">
        <v>487</v>
      </c>
      <c r="B259" t="s">
        <v>354</v>
      </c>
      <c r="C259">
        <v>35</v>
      </c>
      <c r="D259" t="s">
        <v>25</v>
      </c>
      <c r="E259" t="s">
        <v>56</v>
      </c>
      <c r="F259" t="s">
        <v>27</v>
      </c>
      <c r="G259" s="2">
        <v>45887</v>
      </c>
      <c r="H259" t="s">
        <v>44</v>
      </c>
      <c r="I259" s="3">
        <v>3307143</v>
      </c>
      <c r="J259">
        <v>802</v>
      </c>
      <c r="K259" t="s">
        <v>78</v>
      </c>
      <c r="L259" t="s">
        <v>30</v>
      </c>
      <c r="M259">
        <v>33</v>
      </c>
      <c r="N259" s="3">
        <v>3919.65</v>
      </c>
      <c r="O259" t="s">
        <v>22</v>
      </c>
    </row>
    <row r="260" spans="1:15" x14ac:dyDescent="0.2">
      <c r="A260" t="s">
        <v>488</v>
      </c>
      <c r="B260" t="s">
        <v>489</v>
      </c>
      <c r="C260">
        <v>61</v>
      </c>
      <c r="D260" t="s">
        <v>42</v>
      </c>
      <c r="E260" t="s">
        <v>26</v>
      </c>
      <c r="F260" t="s">
        <v>100</v>
      </c>
      <c r="G260" s="2">
        <v>46022</v>
      </c>
      <c r="H260" t="s">
        <v>19</v>
      </c>
      <c r="I260" s="3">
        <v>3806995</v>
      </c>
      <c r="J260">
        <v>588</v>
      </c>
      <c r="K260" t="s">
        <v>67</v>
      </c>
      <c r="L260" t="s">
        <v>45</v>
      </c>
      <c r="M260">
        <v>105</v>
      </c>
      <c r="N260" s="3">
        <v>55293.87</v>
      </c>
      <c r="O260" t="s">
        <v>22</v>
      </c>
    </row>
    <row r="261" spans="1:15" x14ac:dyDescent="0.2">
      <c r="A261" t="s">
        <v>490</v>
      </c>
      <c r="B261" t="s">
        <v>453</v>
      </c>
      <c r="C261">
        <v>59</v>
      </c>
      <c r="D261" t="s">
        <v>128</v>
      </c>
      <c r="E261" t="s">
        <v>26</v>
      </c>
      <c r="F261" t="s">
        <v>27</v>
      </c>
      <c r="G261" s="2">
        <v>46220</v>
      </c>
      <c r="H261" t="s">
        <v>28</v>
      </c>
      <c r="I261" s="3">
        <v>1917108</v>
      </c>
      <c r="J261">
        <v>632</v>
      </c>
      <c r="K261" t="s">
        <v>29</v>
      </c>
      <c r="L261" t="s">
        <v>38</v>
      </c>
      <c r="M261">
        <v>6</v>
      </c>
      <c r="N261" s="3">
        <v>30380.58</v>
      </c>
      <c r="O261" t="s">
        <v>22</v>
      </c>
    </row>
    <row r="262" spans="1:15" x14ac:dyDescent="0.2">
      <c r="A262" t="s">
        <v>491</v>
      </c>
      <c r="B262" t="s">
        <v>492</v>
      </c>
      <c r="C262">
        <v>22</v>
      </c>
      <c r="D262" t="s">
        <v>128</v>
      </c>
      <c r="E262" t="s">
        <v>26</v>
      </c>
      <c r="F262" t="s">
        <v>27</v>
      </c>
      <c r="G262" s="2">
        <v>46095</v>
      </c>
      <c r="H262" t="s">
        <v>33</v>
      </c>
      <c r="I262" s="3">
        <v>3103507</v>
      </c>
      <c r="J262">
        <v>656</v>
      </c>
      <c r="K262" t="s">
        <v>86</v>
      </c>
      <c r="L262" t="s">
        <v>45</v>
      </c>
      <c r="M262">
        <v>116</v>
      </c>
      <c r="N262" s="3">
        <v>6000.44</v>
      </c>
      <c r="O262" t="s">
        <v>22</v>
      </c>
    </row>
    <row r="263" spans="1:15" x14ac:dyDescent="0.2">
      <c r="A263" t="s">
        <v>493</v>
      </c>
      <c r="B263" t="s">
        <v>494</v>
      </c>
      <c r="C263">
        <v>49</v>
      </c>
      <c r="D263" t="s">
        <v>75</v>
      </c>
      <c r="E263" t="s">
        <v>17</v>
      </c>
      <c r="F263" t="s">
        <v>27</v>
      </c>
      <c r="G263" s="2">
        <v>45940</v>
      </c>
      <c r="H263" t="s">
        <v>33</v>
      </c>
      <c r="I263" s="3">
        <v>2031336</v>
      </c>
      <c r="K263" t="s">
        <v>92</v>
      </c>
      <c r="L263" t="s">
        <v>45</v>
      </c>
      <c r="M263">
        <v>90</v>
      </c>
      <c r="N263" s="3">
        <v>8922.2999999999993</v>
      </c>
      <c r="O263" t="s">
        <v>22</v>
      </c>
    </row>
    <row r="264" spans="1:15" x14ac:dyDescent="0.2">
      <c r="A264" t="s">
        <v>495</v>
      </c>
      <c r="B264" t="s">
        <v>496</v>
      </c>
      <c r="C264">
        <v>61</v>
      </c>
      <c r="D264" t="s">
        <v>105</v>
      </c>
      <c r="E264" t="s">
        <v>26</v>
      </c>
      <c r="F264" t="s">
        <v>27</v>
      </c>
      <c r="G264" s="2">
        <v>45684</v>
      </c>
      <c r="H264" t="s">
        <v>19</v>
      </c>
      <c r="I264" s="3">
        <v>874588</v>
      </c>
      <c r="J264">
        <v>691</v>
      </c>
      <c r="K264" t="s">
        <v>92</v>
      </c>
      <c r="L264" t="s">
        <v>21</v>
      </c>
      <c r="M264">
        <v>103</v>
      </c>
      <c r="N264" s="3">
        <v>3037</v>
      </c>
      <c r="O264" t="s">
        <v>22</v>
      </c>
    </row>
    <row r="265" spans="1:15" x14ac:dyDescent="0.2">
      <c r="A265" t="s">
        <v>497</v>
      </c>
      <c r="B265" t="s">
        <v>115</v>
      </c>
      <c r="C265">
        <v>30</v>
      </c>
      <c r="D265" t="s">
        <v>48</v>
      </c>
      <c r="E265" t="s">
        <v>26</v>
      </c>
      <c r="F265" t="s">
        <v>27</v>
      </c>
      <c r="G265" s="2">
        <v>45883</v>
      </c>
      <c r="I265" s="3">
        <v>2404327</v>
      </c>
      <c r="J265">
        <v>744</v>
      </c>
      <c r="K265" t="s">
        <v>67</v>
      </c>
      <c r="L265" t="s">
        <v>45</v>
      </c>
      <c r="M265">
        <v>105</v>
      </c>
      <c r="N265" s="3">
        <v>5087.9799999999996</v>
      </c>
      <c r="O265" t="s">
        <v>22</v>
      </c>
    </row>
    <row r="266" spans="1:15" x14ac:dyDescent="0.2">
      <c r="A266" t="s">
        <v>498</v>
      </c>
      <c r="B266" t="s">
        <v>248</v>
      </c>
      <c r="C266">
        <v>22</v>
      </c>
      <c r="D266" t="s">
        <v>128</v>
      </c>
      <c r="E266" t="s">
        <v>56</v>
      </c>
      <c r="F266" t="s">
        <v>18</v>
      </c>
      <c r="G266" s="2">
        <v>45934</v>
      </c>
      <c r="H266" t="s">
        <v>33</v>
      </c>
      <c r="I266" s="3">
        <v>4320081</v>
      </c>
      <c r="J266">
        <v>606</v>
      </c>
      <c r="K266" t="s">
        <v>20</v>
      </c>
      <c r="L266" t="s">
        <v>30</v>
      </c>
      <c r="M266">
        <v>37</v>
      </c>
      <c r="N266" s="3">
        <v>5955.87</v>
      </c>
      <c r="O266" t="s">
        <v>22</v>
      </c>
    </row>
    <row r="267" spans="1:15" x14ac:dyDescent="0.2">
      <c r="A267" t="s">
        <v>499</v>
      </c>
      <c r="B267" t="s">
        <v>140</v>
      </c>
      <c r="C267">
        <v>31</v>
      </c>
      <c r="D267" t="s">
        <v>48</v>
      </c>
      <c r="E267" t="s">
        <v>56</v>
      </c>
      <c r="F267" t="s">
        <v>27</v>
      </c>
      <c r="G267" s="2">
        <v>45941</v>
      </c>
      <c r="H267" t="s">
        <v>28</v>
      </c>
      <c r="I267" s="3">
        <v>1400127</v>
      </c>
      <c r="J267">
        <v>649</v>
      </c>
      <c r="K267" t="s">
        <v>67</v>
      </c>
      <c r="L267" t="s">
        <v>58</v>
      </c>
      <c r="M267">
        <v>14</v>
      </c>
      <c r="N267" s="3">
        <v>10569.69</v>
      </c>
      <c r="O267" t="s">
        <v>22</v>
      </c>
    </row>
    <row r="268" spans="1:15" x14ac:dyDescent="0.2">
      <c r="A268" t="s">
        <v>500</v>
      </c>
      <c r="B268" t="s">
        <v>501</v>
      </c>
      <c r="C268">
        <v>33</v>
      </c>
      <c r="D268" t="s">
        <v>70</v>
      </c>
      <c r="E268" t="s">
        <v>56</v>
      </c>
      <c r="F268" t="s">
        <v>27</v>
      </c>
      <c r="G268" s="2">
        <v>46138</v>
      </c>
      <c r="H268" t="s">
        <v>52</v>
      </c>
      <c r="I268" s="3">
        <v>2739913</v>
      </c>
      <c r="J268">
        <v>797</v>
      </c>
      <c r="K268" t="s">
        <v>34</v>
      </c>
      <c r="L268" t="s">
        <v>21</v>
      </c>
      <c r="M268">
        <v>37</v>
      </c>
      <c r="N268" s="3">
        <v>2031.82</v>
      </c>
      <c r="O268" t="s">
        <v>335</v>
      </c>
    </row>
    <row r="269" spans="1:15" x14ac:dyDescent="0.2">
      <c r="A269" t="s">
        <v>502</v>
      </c>
      <c r="B269" t="s">
        <v>503</v>
      </c>
      <c r="C269">
        <v>30</v>
      </c>
      <c r="D269" t="s">
        <v>25</v>
      </c>
      <c r="E269" t="s">
        <v>26</v>
      </c>
      <c r="F269" t="s">
        <v>18</v>
      </c>
      <c r="G269" s="2">
        <v>46110</v>
      </c>
      <c r="H269" t="s">
        <v>28</v>
      </c>
      <c r="I269" s="3">
        <v>4167000</v>
      </c>
      <c r="J269">
        <v>768</v>
      </c>
      <c r="K269" t="s">
        <v>29</v>
      </c>
      <c r="L269" t="s">
        <v>21</v>
      </c>
      <c r="M269">
        <v>8</v>
      </c>
      <c r="N269" s="3">
        <v>12419.94</v>
      </c>
      <c r="O269" t="s">
        <v>22</v>
      </c>
    </row>
    <row r="270" spans="1:15" x14ac:dyDescent="0.2">
      <c r="A270" t="s">
        <v>504</v>
      </c>
      <c r="B270" t="s">
        <v>505</v>
      </c>
      <c r="C270">
        <v>34</v>
      </c>
      <c r="D270" t="s">
        <v>75</v>
      </c>
      <c r="E270" t="s">
        <v>17</v>
      </c>
      <c r="F270" t="s">
        <v>43</v>
      </c>
      <c r="G270" s="2">
        <v>46173</v>
      </c>
      <c r="H270" t="s">
        <v>52</v>
      </c>
      <c r="I270" s="3">
        <v>2928306</v>
      </c>
      <c r="J270">
        <v>703</v>
      </c>
      <c r="K270" t="s">
        <v>92</v>
      </c>
      <c r="L270" t="s">
        <v>38</v>
      </c>
      <c r="M270">
        <v>103</v>
      </c>
      <c r="N270" s="3">
        <v>7683.56</v>
      </c>
      <c r="O270" t="s">
        <v>22</v>
      </c>
    </row>
    <row r="271" spans="1:15" x14ac:dyDescent="0.2">
      <c r="A271" t="s">
        <v>506</v>
      </c>
      <c r="B271" t="s">
        <v>190</v>
      </c>
      <c r="C271">
        <v>38</v>
      </c>
      <c r="D271" t="s">
        <v>105</v>
      </c>
      <c r="E271" t="s">
        <v>26</v>
      </c>
      <c r="F271" t="s">
        <v>18</v>
      </c>
      <c r="G271" s="2">
        <v>46204</v>
      </c>
      <c r="H271" t="s">
        <v>44</v>
      </c>
      <c r="I271" s="3">
        <v>2464904</v>
      </c>
      <c r="J271">
        <v>598</v>
      </c>
      <c r="K271" t="s">
        <v>67</v>
      </c>
      <c r="L271" t="s">
        <v>58</v>
      </c>
      <c r="M271">
        <v>77</v>
      </c>
      <c r="N271" s="3">
        <v>13602.56</v>
      </c>
      <c r="O271" t="s">
        <v>22</v>
      </c>
    </row>
    <row r="272" spans="1:15" x14ac:dyDescent="0.2">
      <c r="A272" t="s">
        <v>507</v>
      </c>
      <c r="B272" t="s">
        <v>475</v>
      </c>
      <c r="C272">
        <v>29</v>
      </c>
      <c r="D272" t="s">
        <v>105</v>
      </c>
      <c r="E272" t="s">
        <v>26</v>
      </c>
      <c r="F272" t="s">
        <v>18</v>
      </c>
      <c r="G272" s="2">
        <v>45849</v>
      </c>
      <c r="H272" t="s">
        <v>28</v>
      </c>
      <c r="I272" s="3">
        <v>2600716</v>
      </c>
      <c r="J272">
        <v>836</v>
      </c>
      <c r="K272" t="s">
        <v>29</v>
      </c>
      <c r="L272" t="s">
        <v>21</v>
      </c>
      <c r="M272">
        <v>13</v>
      </c>
      <c r="N272" s="3">
        <v>15909.5</v>
      </c>
      <c r="O272" t="s">
        <v>22</v>
      </c>
    </row>
    <row r="273" spans="1:15" x14ac:dyDescent="0.2">
      <c r="A273" t="s">
        <v>508</v>
      </c>
      <c r="B273" t="s">
        <v>481</v>
      </c>
      <c r="C273">
        <v>59</v>
      </c>
      <c r="D273" t="s">
        <v>37</v>
      </c>
      <c r="E273" t="s">
        <v>26</v>
      </c>
      <c r="F273" t="s">
        <v>27</v>
      </c>
      <c r="G273" s="2">
        <v>45706</v>
      </c>
      <c r="H273" t="s">
        <v>33</v>
      </c>
      <c r="I273" s="3">
        <v>2069456</v>
      </c>
      <c r="J273">
        <v>601</v>
      </c>
      <c r="K273" t="s">
        <v>34</v>
      </c>
      <c r="L273" t="s">
        <v>45</v>
      </c>
      <c r="M273">
        <v>40</v>
      </c>
      <c r="N273" s="3">
        <v>7064.01</v>
      </c>
      <c r="O273" t="s">
        <v>22</v>
      </c>
    </row>
    <row r="274" spans="1:15" x14ac:dyDescent="0.2">
      <c r="A274" t="s">
        <v>509</v>
      </c>
      <c r="B274" t="s">
        <v>364</v>
      </c>
      <c r="C274">
        <v>48</v>
      </c>
      <c r="D274" t="s">
        <v>70</v>
      </c>
      <c r="E274" t="s">
        <v>26</v>
      </c>
      <c r="F274" t="s">
        <v>18</v>
      </c>
      <c r="G274" s="2">
        <v>46169</v>
      </c>
      <c r="H274" t="s">
        <v>28</v>
      </c>
      <c r="I274" s="3">
        <v>1514008</v>
      </c>
      <c r="J274">
        <v>619</v>
      </c>
      <c r="K274" t="s">
        <v>92</v>
      </c>
      <c r="L274" t="s">
        <v>21</v>
      </c>
      <c r="M274">
        <v>107</v>
      </c>
      <c r="N274" s="3">
        <v>14952.11</v>
      </c>
      <c r="O274" t="s">
        <v>22</v>
      </c>
    </row>
    <row r="275" spans="1:15" x14ac:dyDescent="0.2">
      <c r="A275" t="s">
        <v>510</v>
      </c>
      <c r="B275" t="s">
        <v>323</v>
      </c>
      <c r="C275">
        <v>23</v>
      </c>
      <c r="D275" t="s">
        <v>70</v>
      </c>
      <c r="E275" t="s">
        <v>26</v>
      </c>
      <c r="F275" t="s">
        <v>27</v>
      </c>
      <c r="G275" s="2">
        <v>45674</v>
      </c>
      <c r="H275" t="s">
        <v>28</v>
      </c>
      <c r="I275" s="3">
        <v>3018654</v>
      </c>
      <c r="J275">
        <v>617</v>
      </c>
      <c r="K275" t="s">
        <v>34</v>
      </c>
      <c r="L275" t="s">
        <v>21</v>
      </c>
      <c r="M275">
        <v>92</v>
      </c>
      <c r="N275" s="3">
        <v>8171.97</v>
      </c>
      <c r="O275" t="s">
        <v>22</v>
      </c>
    </row>
    <row r="276" spans="1:15" x14ac:dyDescent="0.2">
      <c r="A276" t="s">
        <v>511</v>
      </c>
      <c r="B276" t="s">
        <v>512</v>
      </c>
      <c r="C276">
        <v>40</v>
      </c>
      <c r="D276" t="s">
        <v>51</v>
      </c>
      <c r="E276" t="s">
        <v>56</v>
      </c>
      <c r="F276" t="s">
        <v>100</v>
      </c>
      <c r="G276" s="2">
        <v>45829</v>
      </c>
      <c r="H276" t="s">
        <v>28</v>
      </c>
      <c r="I276" s="3">
        <v>1632212</v>
      </c>
      <c r="J276">
        <v>627</v>
      </c>
      <c r="K276" t="s">
        <v>29</v>
      </c>
      <c r="L276" t="s">
        <v>21</v>
      </c>
      <c r="M276">
        <v>58</v>
      </c>
      <c r="N276" s="3">
        <v>19548.36</v>
      </c>
      <c r="O276" t="s">
        <v>22</v>
      </c>
    </row>
    <row r="277" spans="1:15" x14ac:dyDescent="0.2">
      <c r="A277" t="s">
        <v>513</v>
      </c>
      <c r="B277" t="s">
        <v>514</v>
      </c>
      <c r="C277">
        <v>26</v>
      </c>
      <c r="D277" t="s">
        <v>42</v>
      </c>
      <c r="E277" t="s">
        <v>26</v>
      </c>
      <c r="F277" t="s">
        <v>43</v>
      </c>
      <c r="G277" s="2">
        <v>45877</v>
      </c>
      <c r="H277" t="s">
        <v>52</v>
      </c>
      <c r="I277" s="3">
        <v>1509112</v>
      </c>
      <c r="J277">
        <v>762</v>
      </c>
      <c r="K277" t="s">
        <v>86</v>
      </c>
      <c r="L277" t="s">
        <v>38</v>
      </c>
      <c r="M277">
        <v>18</v>
      </c>
      <c r="N277" s="3">
        <v>12480.62</v>
      </c>
      <c r="O277" t="s">
        <v>22</v>
      </c>
    </row>
    <row r="278" spans="1:15" x14ac:dyDescent="0.2">
      <c r="A278" t="s">
        <v>515</v>
      </c>
      <c r="B278" t="s">
        <v>516</v>
      </c>
      <c r="C278">
        <v>47</v>
      </c>
      <c r="D278" t="s">
        <v>55</v>
      </c>
      <c r="E278" t="s">
        <v>56</v>
      </c>
      <c r="F278" t="s">
        <v>100</v>
      </c>
      <c r="G278" s="2">
        <v>45815</v>
      </c>
      <c r="H278" t="s">
        <v>44</v>
      </c>
      <c r="I278" s="3">
        <v>4126345</v>
      </c>
      <c r="J278">
        <v>654</v>
      </c>
      <c r="K278" t="s">
        <v>29</v>
      </c>
      <c r="L278" t="s">
        <v>21</v>
      </c>
      <c r="M278">
        <v>57</v>
      </c>
      <c r="N278" s="3">
        <v>10830.2</v>
      </c>
      <c r="O278" t="s">
        <v>22</v>
      </c>
    </row>
    <row r="279" spans="1:15" x14ac:dyDescent="0.2">
      <c r="A279" t="s">
        <v>517</v>
      </c>
      <c r="B279" t="s">
        <v>412</v>
      </c>
      <c r="C279">
        <v>22</v>
      </c>
      <c r="D279" t="s">
        <v>55</v>
      </c>
      <c r="E279" t="s">
        <v>17</v>
      </c>
      <c r="F279" t="s">
        <v>18</v>
      </c>
      <c r="G279" s="2">
        <v>46134</v>
      </c>
      <c r="H279" t="s">
        <v>19</v>
      </c>
      <c r="I279" s="3">
        <v>3430863</v>
      </c>
      <c r="J279">
        <v>788</v>
      </c>
      <c r="K279" t="s">
        <v>67</v>
      </c>
      <c r="L279" t="s">
        <v>21</v>
      </c>
      <c r="M279">
        <v>83</v>
      </c>
      <c r="N279" s="3">
        <v>8041.99</v>
      </c>
      <c r="O279" t="s">
        <v>22</v>
      </c>
    </row>
    <row r="280" spans="1:15" x14ac:dyDescent="0.2">
      <c r="A280" t="s">
        <v>518</v>
      </c>
      <c r="B280" t="s">
        <v>125</v>
      </c>
      <c r="C280">
        <v>49</v>
      </c>
      <c r="D280" t="s">
        <v>37</v>
      </c>
      <c r="E280" t="s">
        <v>26</v>
      </c>
      <c r="F280" t="s">
        <v>27</v>
      </c>
      <c r="G280" s="2">
        <v>45703</v>
      </c>
      <c r="H280" t="s">
        <v>28</v>
      </c>
      <c r="I280" s="3">
        <v>2483414</v>
      </c>
      <c r="J280">
        <v>762</v>
      </c>
      <c r="K280" t="s">
        <v>34</v>
      </c>
      <c r="L280" t="s">
        <v>38</v>
      </c>
      <c r="M280">
        <v>38</v>
      </c>
      <c r="N280" s="3">
        <v>34912.730000000003</v>
      </c>
      <c r="O280" t="s">
        <v>22</v>
      </c>
    </row>
    <row r="281" spans="1:15" x14ac:dyDescent="0.2">
      <c r="A281" t="s">
        <v>519</v>
      </c>
      <c r="B281" t="s">
        <v>223</v>
      </c>
      <c r="C281">
        <v>58</v>
      </c>
      <c r="D281" t="s">
        <v>89</v>
      </c>
      <c r="E281" t="s">
        <v>26</v>
      </c>
      <c r="F281" t="s">
        <v>43</v>
      </c>
      <c r="G281" s="2">
        <v>46030</v>
      </c>
      <c r="H281" t="s">
        <v>44</v>
      </c>
      <c r="I281" s="3">
        <v>1893063</v>
      </c>
      <c r="J281">
        <v>686</v>
      </c>
      <c r="K281" t="s">
        <v>86</v>
      </c>
      <c r="L281" t="s">
        <v>58</v>
      </c>
      <c r="M281">
        <v>32</v>
      </c>
      <c r="N281" s="3">
        <v>13704.02</v>
      </c>
      <c r="O281" t="s">
        <v>22</v>
      </c>
    </row>
    <row r="282" spans="1:15" x14ac:dyDescent="0.2">
      <c r="A282" t="s">
        <v>520</v>
      </c>
      <c r="B282" t="s">
        <v>521</v>
      </c>
      <c r="C282">
        <v>23</v>
      </c>
      <c r="D282" t="s">
        <v>16</v>
      </c>
      <c r="E282" t="s">
        <v>26</v>
      </c>
      <c r="F282" t="s">
        <v>100</v>
      </c>
      <c r="G282" s="2">
        <v>46175</v>
      </c>
      <c r="H282" t="s">
        <v>52</v>
      </c>
      <c r="I282" s="3">
        <v>254331</v>
      </c>
      <c r="J282">
        <v>767</v>
      </c>
      <c r="K282" t="s">
        <v>86</v>
      </c>
      <c r="L282" t="s">
        <v>30</v>
      </c>
      <c r="M282">
        <v>86</v>
      </c>
      <c r="N282" s="3">
        <v>2236.0500000000002</v>
      </c>
      <c r="O282" t="s">
        <v>22</v>
      </c>
    </row>
    <row r="283" spans="1:15" x14ac:dyDescent="0.2">
      <c r="A283" t="s">
        <v>522</v>
      </c>
      <c r="B283" t="s">
        <v>523</v>
      </c>
      <c r="C283">
        <v>36</v>
      </c>
      <c r="D283" t="s">
        <v>75</v>
      </c>
      <c r="E283" t="s">
        <v>17</v>
      </c>
      <c r="F283" t="s">
        <v>18</v>
      </c>
      <c r="G283" s="2">
        <v>45756</v>
      </c>
      <c r="H283" t="s">
        <v>28</v>
      </c>
      <c r="I283" s="3">
        <v>1815976</v>
      </c>
      <c r="J283">
        <v>843</v>
      </c>
      <c r="K283" t="s">
        <v>20</v>
      </c>
      <c r="L283" t="s">
        <v>38</v>
      </c>
      <c r="M283">
        <v>66</v>
      </c>
      <c r="N283" s="3">
        <v>5455.89</v>
      </c>
      <c r="O283" t="s">
        <v>22</v>
      </c>
    </row>
    <row r="284" spans="1:15" x14ac:dyDescent="0.2">
      <c r="A284" t="s">
        <v>524</v>
      </c>
      <c r="B284" t="s">
        <v>261</v>
      </c>
      <c r="C284">
        <v>50</v>
      </c>
      <c r="D284" t="s">
        <v>25</v>
      </c>
      <c r="E284" t="s">
        <v>26</v>
      </c>
      <c r="F284" t="s">
        <v>27</v>
      </c>
      <c r="G284" s="2">
        <v>45694</v>
      </c>
      <c r="H284" t="s">
        <v>28</v>
      </c>
      <c r="I284" s="3">
        <v>4226808</v>
      </c>
      <c r="J284">
        <v>665</v>
      </c>
      <c r="K284" t="s">
        <v>92</v>
      </c>
      <c r="L284" t="s">
        <v>38</v>
      </c>
      <c r="M284">
        <v>77</v>
      </c>
      <c r="N284" s="3">
        <v>7044.38</v>
      </c>
      <c r="O284" t="s">
        <v>22</v>
      </c>
    </row>
    <row r="285" spans="1:15" x14ac:dyDescent="0.2">
      <c r="A285" t="s">
        <v>525</v>
      </c>
      <c r="B285" t="s">
        <v>484</v>
      </c>
      <c r="C285">
        <v>60</v>
      </c>
      <c r="D285" t="s">
        <v>105</v>
      </c>
      <c r="E285" t="s">
        <v>26</v>
      </c>
      <c r="F285" t="s">
        <v>18</v>
      </c>
      <c r="G285" s="2">
        <v>45937</v>
      </c>
      <c r="H285" t="s">
        <v>28</v>
      </c>
      <c r="I285" s="3">
        <v>462854</v>
      </c>
      <c r="K285" t="s">
        <v>78</v>
      </c>
      <c r="L285" t="s">
        <v>21</v>
      </c>
      <c r="M285">
        <v>87</v>
      </c>
      <c r="N285" s="3">
        <v>8944.74</v>
      </c>
      <c r="O285" t="s">
        <v>335</v>
      </c>
    </row>
    <row r="286" spans="1:15" x14ac:dyDescent="0.2">
      <c r="A286" t="s">
        <v>526</v>
      </c>
      <c r="B286" t="s">
        <v>527</v>
      </c>
      <c r="C286">
        <v>22</v>
      </c>
      <c r="D286" t="s">
        <v>42</v>
      </c>
      <c r="E286" t="s">
        <v>26</v>
      </c>
      <c r="F286" t="s">
        <v>27</v>
      </c>
      <c r="G286" s="2">
        <v>46006</v>
      </c>
      <c r="H286" t="s">
        <v>44</v>
      </c>
      <c r="I286" s="3">
        <v>1803416</v>
      </c>
      <c r="J286">
        <v>674</v>
      </c>
      <c r="K286" t="s">
        <v>86</v>
      </c>
      <c r="L286" t="s">
        <v>21</v>
      </c>
      <c r="M286">
        <v>25</v>
      </c>
      <c r="N286" s="3">
        <v>10781.02</v>
      </c>
      <c r="O286" t="s">
        <v>22</v>
      </c>
    </row>
    <row r="287" spans="1:15" x14ac:dyDescent="0.2">
      <c r="A287" t="s">
        <v>528</v>
      </c>
      <c r="B287" t="s">
        <v>196</v>
      </c>
      <c r="C287">
        <v>37</v>
      </c>
      <c r="D287" t="s">
        <v>48</v>
      </c>
      <c r="E287" t="s">
        <v>17</v>
      </c>
      <c r="F287" t="s">
        <v>27</v>
      </c>
      <c r="G287" s="2">
        <v>46154</v>
      </c>
      <c r="H287" t="s">
        <v>33</v>
      </c>
      <c r="I287" s="3">
        <v>3206156</v>
      </c>
      <c r="J287">
        <v>824</v>
      </c>
      <c r="K287" t="s">
        <v>34</v>
      </c>
      <c r="L287" t="s">
        <v>30</v>
      </c>
      <c r="M287">
        <v>92</v>
      </c>
      <c r="N287" s="3">
        <v>3322.83</v>
      </c>
      <c r="O287" t="s">
        <v>22</v>
      </c>
    </row>
    <row r="288" spans="1:15" x14ac:dyDescent="0.2">
      <c r="A288" t="s">
        <v>529</v>
      </c>
      <c r="B288" t="s">
        <v>74</v>
      </c>
      <c r="C288">
        <v>61</v>
      </c>
      <c r="D288" t="s">
        <v>75</v>
      </c>
      <c r="E288" t="s">
        <v>56</v>
      </c>
      <c r="F288" t="s">
        <v>27</v>
      </c>
      <c r="G288" s="2">
        <v>45959</v>
      </c>
      <c r="H288" t="s">
        <v>52</v>
      </c>
      <c r="I288" s="3">
        <v>2531696</v>
      </c>
      <c r="J288">
        <v>669</v>
      </c>
      <c r="K288" t="s">
        <v>92</v>
      </c>
      <c r="L288" t="s">
        <v>21</v>
      </c>
      <c r="M288">
        <v>58</v>
      </c>
      <c r="N288" s="3">
        <v>8338.2000000000007</v>
      </c>
      <c r="O288" t="s">
        <v>22</v>
      </c>
    </row>
    <row r="289" spans="1:15" x14ac:dyDescent="0.2">
      <c r="A289" t="s">
        <v>530</v>
      </c>
      <c r="B289" t="s">
        <v>119</v>
      </c>
      <c r="C289">
        <v>32</v>
      </c>
      <c r="D289" t="s">
        <v>89</v>
      </c>
      <c r="E289" t="s">
        <v>26</v>
      </c>
      <c r="F289" t="s">
        <v>27</v>
      </c>
      <c r="G289" s="2">
        <v>45838</v>
      </c>
      <c r="H289" t="s">
        <v>28</v>
      </c>
      <c r="I289" s="3">
        <v>1383243</v>
      </c>
      <c r="J289">
        <v>638</v>
      </c>
      <c r="K289" t="s">
        <v>57</v>
      </c>
      <c r="L289" t="s">
        <v>45</v>
      </c>
      <c r="M289">
        <v>75</v>
      </c>
      <c r="N289" s="3">
        <v>6439.28</v>
      </c>
      <c r="O289" t="s">
        <v>22</v>
      </c>
    </row>
    <row r="290" spans="1:15" x14ac:dyDescent="0.2">
      <c r="A290" t="s">
        <v>531</v>
      </c>
      <c r="B290" t="s">
        <v>266</v>
      </c>
      <c r="C290">
        <v>55</v>
      </c>
      <c r="D290" t="s">
        <v>75</v>
      </c>
      <c r="E290" t="s">
        <v>56</v>
      </c>
      <c r="F290" t="s">
        <v>18</v>
      </c>
      <c r="G290" s="2">
        <v>46264</v>
      </c>
      <c r="H290" t="s">
        <v>52</v>
      </c>
      <c r="I290" s="3">
        <v>254677</v>
      </c>
      <c r="J290">
        <v>607</v>
      </c>
      <c r="K290" t="s">
        <v>29</v>
      </c>
      <c r="L290" t="s">
        <v>21</v>
      </c>
      <c r="M290">
        <v>33</v>
      </c>
      <c r="N290" s="3">
        <v>27972.62</v>
      </c>
      <c r="O290" t="s">
        <v>22</v>
      </c>
    </row>
    <row r="291" spans="1:15" x14ac:dyDescent="0.2">
      <c r="A291" t="s">
        <v>532</v>
      </c>
      <c r="B291" t="s">
        <v>102</v>
      </c>
      <c r="C291">
        <v>63</v>
      </c>
      <c r="D291" t="s">
        <v>89</v>
      </c>
      <c r="E291" t="s">
        <v>17</v>
      </c>
      <c r="F291" t="s">
        <v>27</v>
      </c>
      <c r="G291" s="2">
        <v>45756</v>
      </c>
      <c r="H291" t="s">
        <v>28</v>
      </c>
      <c r="I291" s="3">
        <v>454580</v>
      </c>
      <c r="J291">
        <v>651</v>
      </c>
      <c r="K291" t="s">
        <v>67</v>
      </c>
      <c r="L291" t="s">
        <v>21</v>
      </c>
      <c r="M291">
        <v>88</v>
      </c>
      <c r="N291" s="3">
        <v>3150.03</v>
      </c>
      <c r="O291" t="s">
        <v>22</v>
      </c>
    </row>
    <row r="292" spans="1:15" x14ac:dyDescent="0.2">
      <c r="A292" t="s">
        <v>533</v>
      </c>
      <c r="B292" t="s">
        <v>534</v>
      </c>
      <c r="C292">
        <v>21</v>
      </c>
      <c r="D292" t="s">
        <v>105</v>
      </c>
      <c r="E292" t="s">
        <v>83</v>
      </c>
      <c r="F292" t="s">
        <v>18</v>
      </c>
      <c r="G292" s="2">
        <v>45773</v>
      </c>
      <c r="H292" t="s">
        <v>28</v>
      </c>
      <c r="I292" s="3">
        <v>380334</v>
      </c>
      <c r="J292">
        <v>849</v>
      </c>
      <c r="K292" t="s">
        <v>34</v>
      </c>
      <c r="L292" t="s">
        <v>45</v>
      </c>
      <c r="M292">
        <v>66</v>
      </c>
      <c r="N292" s="3">
        <v>8793.36</v>
      </c>
      <c r="O292" t="s">
        <v>22</v>
      </c>
    </row>
    <row r="293" spans="1:15" x14ac:dyDescent="0.2">
      <c r="A293" t="s">
        <v>535</v>
      </c>
      <c r="B293" t="s">
        <v>107</v>
      </c>
      <c r="C293">
        <v>65</v>
      </c>
      <c r="D293" t="s">
        <v>16</v>
      </c>
      <c r="E293" t="s">
        <v>56</v>
      </c>
      <c r="F293" t="s">
        <v>27</v>
      </c>
      <c r="G293" s="2">
        <v>45848</v>
      </c>
      <c r="H293" t="s">
        <v>33</v>
      </c>
      <c r="I293" s="3">
        <v>2302109</v>
      </c>
      <c r="J293">
        <v>603</v>
      </c>
      <c r="K293" t="s">
        <v>57</v>
      </c>
      <c r="L293" t="s">
        <v>30</v>
      </c>
      <c r="M293">
        <v>30</v>
      </c>
      <c r="N293" s="3">
        <v>4360.5200000000004</v>
      </c>
      <c r="O293" t="s">
        <v>22</v>
      </c>
    </row>
    <row r="294" spans="1:15" x14ac:dyDescent="0.2">
      <c r="A294" t="s">
        <v>536</v>
      </c>
      <c r="B294" t="s">
        <v>386</v>
      </c>
      <c r="C294">
        <v>35</v>
      </c>
      <c r="D294" t="s">
        <v>89</v>
      </c>
      <c r="E294" t="s">
        <v>17</v>
      </c>
      <c r="F294" t="s">
        <v>27</v>
      </c>
      <c r="G294" s="2">
        <v>45910</v>
      </c>
      <c r="H294" t="s">
        <v>28</v>
      </c>
      <c r="I294" s="3">
        <v>2758963</v>
      </c>
      <c r="J294">
        <v>691</v>
      </c>
      <c r="K294" t="s">
        <v>34</v>
      </c>
      <c r="L294" t="s">
        <v>45</v>
      </c>
      <c r="M294">
        <v>81</v>
      </c>
      <c r="N294" s="3">
        <v>63331.98</v>
      </c>
      <c r="O294" t="s">
        <v>22</v>
      </c>
    </row>
    <row r="295" spans="1:15" x14ac:dyDescent="0.2">
      <c r="A295" t="s">
        <v>537</v>
      </c>
      <c r="B295" t="s">
        <v>390</v>
      </c>
      <c r="C295">
        <v>46</v>
      </c>
      <c r="D295" t="s">
        <v>105</v>
      </c>
      <c r="E295" t="s">
        <v>17</v>
      </c>
      <c r="F295" t="s">
        <v>27</v>
      </c>
      <c r="G295" s="2">
        <v>45818</v>
      </c>
      <c r="H295" t="s">
        <v>44</v>
      </c>
      <c r="I295" s="3">
        <v>2131934</v>
      </c>
      <c r="J295">
        <v>635</v>
      </c>
      <c r="K295" t="s">
        <v>29</v>
      </c>
      <c r="L295" t="s">
        <v>38</v>
      </c>
      <c r="M295">
        <v>104</v>
      </c>
      <c r="N295" s="3">
        <v>33504.81</v>
      </c>
      <c r="O295" t="s">
        <v>22</v>
      </c>
    </row>
    <row r="296" spans="1:15" x14ac:dyDescent="0.2">
      <c r="A296" t="s">
        <v>538</v>
      </c>
      <c r="B296" t="s">
        <v>164</v>
      </c>
      <c r="C296">
        <v>57</v>
      </c>
      <c r="D296" t="s">
        <v>105</v>
      </c>
      <c r="E296" t="s">
        <v>56</v>
      </c>
      <c r="F296" t="s">
        <v>27</v>
      </c>
      <c r="G296" s="2">
        <v>45913</v>
      </c>
      <c r="H296" t="s">
        <v>28</v>
      </c>
      <c r="I296" s="3">
        <v>2946711</v>
      </c>
      <c r="J296">
        <v>802</v>
      </c>
      <c r="K296" t="s">
        <v>20</v>
      </c>
      <c r="L296" t="s">
        <v>45</v>
      </c>
      <c r="M296">
        <v>34</v>
      </c>
      <c r="N296" s="3">
        <v>1596.43</v>
      </c>
      <c r="O296" t="s">
        <v>39</v>
      </c>
    </row>
    <row r="297" spans="1:15" x14ac:dyDescent="0.2">
      <c r="A297" t="s">
        <v>539</v>
      </c>
      <c r="B297" t="s">
        <v>540</v>
      </c>
      <c r="C297">
        <v>41</v>
      </c>
      <c r="D297" t="s">
        <v>16</v>
      </c>
      <c r="E297" t="s">
        <v>26</v>
      </c>
      <c r="F297" t="s">
        <v>27</v>
      </c>
      <c r="G297" s="2">
        <v>45980</v>
      </c>
      <c r="H297" t="s">
        <v>33</v>
      </c>
      <c r="I297" s="3">
        <v>808745</v>
      </c>
      <c r="J297">
        <v>699</v>
      </c>
      <c r="K297" t="s">
        <v>34</v>
      </c>
      <c r="L297" t="s">
        <v>58</v>
      </c>
      <c r="M297">
        <v>102</v>
      </c>
      <c r="N297" s="3">
        <v>3881.49</v>
      </c>
      <c r="O297" t="s">
        <v>22</v>
      </c>
    </row>
    <row r="298" spans="1:15" x14ac:dyDescent="0.2">
      <c r="A298" t="s">
        <v>541</v>
      </c>
      <c r="B298" t="s">
        <v>315</v>
      </c>
      <c r="C298">
        <v>69</v>
      </c>
      <c r="D298" t="s">
        <v>55</v>
      </c>
      <c r="E298" t="s">
        <v>26</v>
      </c>
      <c r="F298" t="s">
        <v>27</v>
      </c>
      <c r="G298" s="2">
        <v>45785</v>
      </c>
      <c r="H298" t="s">
        <v>28</v>
      </c>
      <c r="I298" s="3">
        <v>816819</v>
      </c>
      <c r="J298">
        <v>758</v>
      </c>
      <c r="K298" t="s">
        <v>86</v>
      </c>
      <c r="L298" t="s">
        <v>38</v>
      </c>
      <c r="M298">
        <v>86</v>
      </c>
      <c r="N298" s="3">
        <v>22347.49</v>
      </c>
      <c r="O298" t="s">
        <v>22</v>
      </c>
    </row>
    <row r="299" spans="1:15" x14ac:dyDescent="0.2">
      <c r="A299" t="s">
        <v>542</v>
      </c>
      <c r="B299" t="s">
        <v>315</v>
      </c>
      <c r="C299">
        <v>51</v>
      </c>
      <c r="D299" t="s">
        <v>75</v>
      </c>
      <c r="E299" t="s">
        <v>26</v>
      </c>
      <c r="F299" t="s">
        <v>43</v>
      </c>
      <c r="G299" s="2">
        <v>45675</v>
      </c>
      <c r="H299" t="s">
        <v>33</v>
      </c>
      <c r="I299" s="3">
        <v>4048043</v>
      </c>
      <c r="J299">
        <v>768</v>
      </c>
      <c r="K299" t="s">
        <v>78</v>
      </c>
      <c r="L299" t="s">
        <v>21</v>
      </c>
      <c r="M299">
        <v>69</v>
      </c>
      <c r="N299" s="3">
        <v>14474.55</v>
      </c>
      <c r="O299" t="s">
        <v>22</v>
      </c>
    </row>
    <row r="300" spans="1:15" x14ac:dyDescent="0.2">
      <c r="A300" t="s">
        <v>543</v>
      </c>
      <c r="B300" t="s">
        <v>544</v>
      </c>
      <c r="C300">
        <v>45</v>
      </c>
      <c r="D300" t="s">
        <v>37</v>
      </c>
      <c r="E300" t="s">
        <v>56</v>
      </c>
      <c r="F300" t="s">
        <v>27</v>
      </c>
      <c r="G300" s="2">
        <v>46223</v>
      </c>
      <c r="H300" t="s">
        <v>28</v>
      </c>
      <c r="I300" s="3">
        <v>444243</v>
      </c>
      <c r="J300">
        <v>645</v>
      </c>
      <c r="K300" t="s">
        <v>86</v>
      </c>
      <c r="L300" t="s">
        <v>38</v>
      </c>
      <c r="M300">
        <v>48</v>
      </c>
      <c r="N300" s="3">
        <v>14005.82</v>
      </c>
      <c r="O300" t="s">
        <v>22</v>
      </c>
    </row>
    <row r="301" spans="1:15" x14ac:dyDescent="0.2">
      <c r="A301" t="s">
        <v>545</v>
      </c>
      <c r="B301" t="s">
        <v>107</v>
      </c>
      <c r="C301">
        <v>43</v>
      </c>
      <c r="D301" t="s">
        <v>128</v>
      </c>
      <c r="E301" t="s">
        <v>56</v>
      </c>
      <c r="F301" t="s">
        <v>27</v>
      </c>
      <c r="G301" s="2">
        <v>46227</v>
      </c>
      <c r="H301" t="s">
        <v>28</v>
      </c>
      <c r="I301" s="3">
        <v>3120741</v>
      </c>
      <c r="K301" t="s">
        <v>29</v>
      </c>
      <c r="L301" t="s">
        <v>30</v>
      </c>
      <c r="M301">
        <v>40</v>
      </c>
      <c r="N301" s="3">
        <v>10942.34</v>
      </c>
      <c r="O301" t="s">
        <v>22</v>
      </c>
    </row>
    <row r="302" spans="1:15" x14ac:dyDescent="0.2">
      <c r="A302" t="s">
        <v>546</v>
      </c>
      <c r="B302" t="s">
        <v>425</v>
      </c>
      <c r="C302">
        <v>44</v>
      </c>
      <c r="D302" t="s">
        <v>128</v>
      </c>
      <c r="E302" t="s">
        <v>26</v>
      </c>
      <c r="F302" t="s">
        <v>27</v>
      </c>
      <c r="G302" s="2">
        <v>45980</v>
      </c>
      <c r="H302" t="s">
        <v>44</v>
      </c>
      <c r="I302" s="3">
        <v>867423</v>
      </c>
      <c r="J302">
        <v>655</v>
      </c>
      <c r="K302" t="s">
        <v>34</v>
      </c>
      <c r="L302" t="s">
        <v>30</v>
      </c>
      <c r="M302">
        <v>51</v>
      </c>
      <c r="N302" s="3">
        <v>24312.84</v>
      </c>
      <c r="O302" t="s">
        <v>22</v>
      </c>
    </row>
    <row r="303" spans="1:15" x14ac:dyDescent="0.2">
      <c r="A303" t="s">
        <v>547</v>
      </c>
      <c r="B303" t="s">
        <v>54</v>
      </c>
      <c r="C303">
        <v>58</v>
      </c>
      <c r="D303" t="s">
        <v>37</v>
      </c>
      <c r="E303" t="s">
        <v>17</v>
      </c>
      <c r="F303" t="s">
        <v>18</v>
      </c>
      <c r="G303" s="2">
        <v>45945</v>
      </c>
      <c r="H303" t="s">
        <v>28</v>
      </c>
      <c r="I303" s="3">
        <v>840642</v>
      </c>
      <c r="J303">
        <v>716</v>
      </c>
      <c r="K303" t="s">
        <v>78</v>
      </c>
      <c r="L303" t="s">
        <v>45</v>
      </c>
      <c r="M303">
        <v>80</v>
      </c>
      <c r="N303" s="3">
        <v>20333.509999999998</v>
      </c>
      <c r="O303" t="s">
        <v>22</v>
      </c>
    </row>
    <row r="304" spans="1:15" x14ac:dyDescent="0.2">
      <c r="A304" t="s">
        <v>548</v>
      </c>
      <c r="B304" t="s">
        <v>549</v>
      </c>
      <c r="C304">
        <v>48</v>
      </c>
      <c r="D304" t="s">
        <v>48</v>
      </c>
      <c r="E304" t="s">
        <v>26</v>
      </c>
      <c r="F304" t="s">
        <v>100</v>
      </c>
      <c r="G304" s="2">
        <v>45812</v>
      </c>
      <c r="H304" t="s">
        <v>52</v>
      </c>
      <c r="I304" s="3">
        <v>887031</v>
      </c>
      <c r="J304">
        <v>743</v>
      </c>
      <c r="K304" t="s">
        <v>86</v>
      </c>
      <c r="L304" t="s">
        <v>38</v>
      </c>
      <c r="M304">
        <v>13</v>
      </c>
      <c r="N304" s="3">
        <v>6600.6</v>
      </c>
      <c r="O304" t="s">
        <v>22</v>
      </c>
    </row>
    <row r="305" spans="1:15" x14ac:dyDescent="0.2">
      <c r="A305" t="s">
        <v>550</v>
      </c>
      <c r="B305" t="s">
        <v>390</v>
      </c>
      <c r="C305">
        <v>41</v>
      </c>
      <c r="D305" t="s">
        <v>70</v>
      </c>
      <c r="E305" t="s">
        <v>26</v>
      </c>
      <c r="F305" t="s">
        <v>43</v>
      </c>
      <c r="G305" s="2">
        <v>46147</v>
      </c>
      <c r="H305" t="s">
        <v>19</v>
      </c>
      <c r="I305" s="3">
        <v>3115893</v>
      </c>
      <c r="J305">
        <v>812</v>
      </c>
      <c r="K305" t="s">
        <v>78</v>
      </c>
      <c r="L305" t="s">
        <v>21</v>
      </c>
      <c r="M305">
        <v>90</v>
      </c>
      <c r="N305" s="3">
        <v>2542.1799999999998</v>
      </c>
      <c r="O305" t="s">
        <v>22</v>
      </c>
    </row>
    <row r="306" spans="1:15" x14ac:dyDescent="0.2">
      <c r="A306" t="s">
        <v>551</v>
      </c>
      <c r="B306" t="s">
        <v>232</v>
      </c>
      <c r="C306">
        <v>63</v>
      </c>
      <c r="D306" t="s">
        <v>48</v>
      </c>
      <c r="E306" t="s">
        <v>83</v>
      </c>
      <c r="F306" t="s">
        <v>27</v>
      </c>
      <c r="G306" s="2">
        <v>46043</v>
      </c>
      <c r="H306" t="s">
        <v>28</v>
      </c>
      <c r="I306" s="3">
        <v>2253369</v>
      </c>
      <c r="J306">
        <v>834</v>
      </c>
      <c r="K306" t="s">
        <v>67</v>
      </c>
      <c r="L306" t="s">
        <v>30</v>
      </c>
      <c r="M306">
        <v>31</v>
      </c>
      <c r="N306" s="3">
        <v>1518.43</v>
      </c>
      <c r="O306" t="s">
        <v>22</v>
      </c>
    </row>
    <row r="307" spans="1:15" x14ac:dyDescent="0.2">
      <c r="A307" t="s">
        <v>552</v>
      </c>
      <c r="B307" t="s">
        <v>348</v>
      </c>
      <c r="C307">
        <v>38</v>
      </c>
      <c r="D307" t="s">
        <v>70</v>
      </c>
      <c r="E307" t="s">
        <v>26</v>
      </c>
      <c r="F307" t="s">
        <v>27</v>
      </c>
      <c r="G307" s="2">
        <v>45761</v>
      </c>
      <c r="H307" t="s">
        <v>28</v>
      </c>
      <c r="I307" s="3">
        <v>1500844</v>
      </c>
      <c r="J307">
        <v>749</v>
      </c>
      <c r="K307" t="s">
        <v>29</v>
      </c>
      <c r="L307" t="s">
        <v>21</v>
      </c>
      <c r="M307">
        <v>116</v>
      </c>
      <c r="N307" s="3">
        <v>8031.92</v>
      </c>
      <c r="O307" t="s">
        <v>22</v>
      </c>
    </row>
    <row r="308" spans="1:15" x14ac:dyDescent="0.2">
      <c r="A308" t="s">
        <v>553</v>
      </c>
      <c r="B308" t="s">
        <v>299</v>
      </c>
      <c r="C308">
        <v>56</v>
      </c>
      <c r="D308" t="s">
        <v>37</v>
      </c>
      <c r="E308" t="s">
        <v>26</v>
      </c>
      <c r="F308" t="s">
        <v>100</v>
      </c>
      <c r="G308" s="2">
        <v>46050</v>
      </c>
      <c r="H308" t="s">
        <v>33</v>
      </c>
      <c r="I308" s="3">
        <v>1166094</v>
      </c>
      <c r="J308">
        <v>753</v>
      </c>
      <c r="K308" t="s">
        <v>20</v>
      </c>
      <c r="L308" t="s">
        <v>58</v>
      </c>
      <c r="M308">
        <v>39</v>
      </c>
      <c r="N308" s="3">
        <v>1297.3800000000001</v>
      </c>
      <c r="O308" t="s">
        <v>22</v>
      </c>
    </row>
    <row r="309" spans="1:15" x14ac:dyDescent="0.2">
      <c r="A309" t="s">
        <v>554</v>
      </c>
      <c r="B309" t="s">
        <v>64</v>
      </c>
      <c r="C309">
        <v>55</v>
      </c>
      <c r="D309" t="s">
        <v>128</v>
      </c>
      <c r="E309" t="s">
        <v>17</v>
      </c>
      <c r="F309" t="s">
        <v>27</v>
      </c>
      <c r="G309" s="2">
        <v>45903</v>
      </c>
      <c r="H309" t="s">
        <v>19</v>
      </c>
      <c r="I309" s="3">
        <v>1336985</v>
      </c>
      <c r="J309">
        <v>597</v>
      </c>
      <c r="K309" t="s">
        <v>20</v>
      </c>
      <c r="L309" t="s">
        <v>30</v>
      </c>
      <c r="M309">
        <v>63</v>
      </c>
      <c r="N309" s="3">
        <v>11655.65</v>
      </c>
      <c r="O309" t="s">
        <v>22</v>
      </c>
    </row>
    <row r="310" spans="1:15" x14ac:dyDescent="0.2">
      <c r="A310" t="s">
        <v>555</v>
      </c>
      <c r="B310" t="s">
        <v>248</v>
      </c>
      <c r="C310">
        <v>65</v>
      </c>
      <c r="D310" t="s">
        <v>25</v>
      </c>
      <c r="E310" t="s">
        <v>56</v>
      </c>
      <c r="F310" t="s">
        <v>27</v>
      </c>
      <c r="G310" s="2">
        <v>45833</v>
      </c>
      <c r="H310" t="s">
        <v>44</v>
      </c>
      <c r="I310" s="3">
        <v>496889</v>
      </c>
      <c r="J310">
        <v>649</v>
      </c>
      <c r="K310" t="s">
        <v>34</v>
      </c>
      <c r="L310" t="s">
        <v>45</v>
      </c>
      <c r="M310">
        <v>48</v>
      </c>
      <c r="N310" s="3">
        <v>6480.59</v>
      </c>
      <c r="O310" t="s">
        <v>22</v>
      </c>
    </row>
    <row r="311" spans="1:15" x14ac:dyDescent="0.2">
      <c r="A311" t="s">
        <v>556</v>
      </c>
      <c r="B311" t="s">
        <v>557</v>
      </c>
      <c r="C311">
        <v>29</v>
      </c>
      <c r="D311" t="s">
        <v>128</v>
      </c>
      <c r="E311" t="s">
        <v>26</v>
      </c>
      <c r="F311" t="s">
        <v>27</v>
      </c>
      <c r="G311" s="2">
        <v>45696</v>
      </c>
      <c r="H311" t="s">
        <v>28</v>
      </c>
      <c r="I311" s="3">
        <v>1715088</v>
      </c>
      <c r="J311">
        <v>695</v>
      </c>
      <c r="K311" t="s">
        <v>86</v>
      </c>
      <c r="L311" t="s">
        <v>58</v>
      </c>
      <c r="M311">
        <v>87</v>
      </c>
      <c r="N311" s="3">
        <v>68947.91</v>
      </c>
      <c r="O311" t="s">
        <v>22</v>
      </c>
    </row>
    <row r="312" spans="1:15" x14ac:dyDescent="0.2">
      <c r="A312" t="s">
        <v>558</v>
      </c>
      <c r="B312" t="s">
        <v>559</v>
      </c>
      <c r="C312">
        <v>58</v>
      </c>
      <c r="D312" t="s">
        <v>48</v>
      </c>
      <c r="E312" t="s">
        <v>17</v>
      </c>
      <c r="F312" t="s">
        <v>27</v>
      </c>
      <c r="G312" s="2">
        <v>46134</v>
      </c>
      <c r="H312" t="s">
        <v>52</v>
      </c>
      <c r="I312" s="3">
        <v>4434251</v>
      </c>
      <c r="J312">
        <v>659</v>
      </c>
      <c r="K312" t="s">
        <v>57</v>
      </c>
      <c r="L312" t="s">
        <v>38</v>
      </c>
      <c r="M312">
        <v>48</v>
      </c>
      <c r="N312" s="3">
        <v>12839.55</v>
      </c>
      <c r="O312" t="s">
        <v>22</v>
      </c>
    </row>
    <row r="313" spans="1:15" x14ac:dyDescent="0.2">
      <c r="A313" t="s">
        <v>560</v>
      </c>
      <c r="B313" t="s">
        <v>561</v>
      </c>
      <c r="C313">
        <v>50</v>
      </c>
      <c r="D313" t="s">
        <v>42</v>
      </c>
      <c r="E313" t="s">
        <v>17</v>
      </c>
      <c r="F313" t="s">
        <v>27</v>
      </c>
      <c r="G313" s="2">
        <v>46195</v>
      </c>
      <c r="H313" t="s">
        <v>28</v>
      </c>
      <c r="I313" s="3">
        <v>3362252</v>
      </c>
      <c r="J313">
        <v>594</v>
      </c>
      <c r="K313" t="s">
        <v>29</v>
      </c>
      <c r="L313" t="s">
        <v>21</v>
      </c>
      <c r="M313">
        <v>61</v>
      </c>
      <c r="N313" s="3">
        <v>8684.66</v>
      </c>
      <c r="O313" t="s">
        <v>22</v>
      </c>
    </row>
    <row r="314" spans="1:15" x14ac:dyDescent="0.2">
      <c r="A314" t="s">
        <v>562</v>
      </c>
      <c r="B314" t="s">
        <v>563</v>
      </c>
      <c r="C314">
        <v>64</v>
      </c>
      <c r="D314" t="s">
        <v>37</v>
      </c>
      <c r="E314" t="s">
        <v>26</v>
      </c>
      <c r="F314" t="s">
        <v>18</v>
      </c>
      <c r="G314" s="2">
        <v>46065</v>
      </c>
      <c r="H314" t="s">
        <v>19</v>
      </c>
      <c r="I314" s="3">
        <v>1993227</v>
      </c>
      <c r="J314">
        <v>755</v>
      </c>
      <c r="K314" t="s">
        <v>86</v>
      </c>
      <c r="L314" t="s">
        <v>30</v>
      </c>
      <c r="M314">
        <v>12</v>
      </c>
      <c r="N314" s="3">
        <v>1640.94</v>
      </c>
      <c r="O314" t="s">
        <v>22</v>
      </c>
    </row>
    <row r="315" spans="1:15" x14ac:dyDescent="0.2">
      <c r="A315" t="s">
        <v>564</v>
      </c>
      <c r="B315" t="s">
        <v>565</v>
      </c>
      <c r="C315">
        <v>54</v>
      </c>
      <c r="D315" t="s">
        <v>48</v>
      </c>
      <c r="E315" t="s">
        <v>26</v>
      </c>
      <c r="F315" t="s">
        <v>27</v>
      </c>
      <c r="G315" s="2">
        <v>46182</v>
      </c>
      <c r="H315" t="s">
        <v>19</v>
      </c>
      <c r="I315" s="3">
        <v>2621693</v>
      </c>
      <c r="J315">
        <v>848</v>
      </c>
      <c r="K315" t="s">
        <v>86</v>
      </c>
      <c r="L315" t="s">
        <v>58</v>
      </c>
      <c r="M315">
        <v>78</v>
      </c>
      <c r="N315" s="3">
        <v>2379.3000000000002</v>
      </c>
      <c r="O315" t="s">
        <v>22</v>
      </c>
    </row>
    <row r="316" spans="1:15" x14ac:dyDescent="0.2">
      <c r="A316" t="s">
        <v>566</v>
      </c>
      <c r="B316" t="s">
        <v>246</v>
      </c>
      <c r="C316">
        <v>52</v>
      </c>
      <c r="D316" t="s">
        <v>25</v>
      </c>
      <c r="E316" t="s">
        <v>17</v>
      </c>
      <c r="F316" t="s">
        <v>43</v>
      </c>
      <c r="G316" s="2">
        <v>46163</v>
      </c>
      <c r="H316" t="s">
        <v>28</v>
      </c>
      <c r="I316" s="3">
        <v>4419647</v>
      </c>
      <c r="J316">
        <v>698</v>
      </c>
      <c r="K316" t="s">
        <v>20</v>
      </c>
      <c r="L316" t="s">
        <v>58</v>
      </c>
      <c r="M316">
        <v>56</v>
      </c>
      <c r="N316" s="3">
        <v>18314.009999999998</v>
      </c>
      <c r="O316" t="s">
        <v>22</v>
      </c>
    </row>
    <row r="317" spans="1:15" x14ac:dyDescent="0.2">
      <c r="A317" t="s">
        <v>567</v>
      </c>
      <c r="B317" t="s">
        <v>568</v>
      </c>
      <c r="C317">
        <v>23</v>
      </c>
      <c r="D317" t="s">
        <v>75</v>
      </c>
      <c r="E317" t="s">
        <v>26</v>
      </c>
      <c r="F317" t="s">
        <v>27</v>
      </c>
      <c r="G317" s="2">
        <v>45693</v>
      </c>
      <c r="H317" t="s">
        <v>28</v>
      </c>
      <c r="I317" s="3">
        <v>836470</v>
      </c>
      <c r="J317">
        <v>767</v>
      </c>
      <c r="K317" t="s">
        <v>34</v>
      </c>
      <c r="L317" t="s">
        <v>30</v>
      </c>
      <c r="M317">
        <v>18</v>
      </c>
      <c r="N317" s="3">
        <v>6446.22</v>
      </c>
      <c r="O317" t="s">
        <v>22</v>
      </c>
    </row>
    <row r="318" spans="1:15" x14ac:dyDescent="0.2">
      <c r="A318" t="s">
        <v>569</v>
      </c>
      <c r="B318" t="s">
        <v>113</v>
      </c>
      <c r="C318">
        <v>23</v>
      </c>
      <c r="D318" t="s">
        <v>70</v>
      </c>
      <c r="E318" t="s">
        <v>83</v>
      </c>
      <c r="F318" t="s">
        <v>27</v>
      </c>
      <c r="G318" s="2">
        <v>45677</v>
      </c>
      <c r="H318" t="s">
        <v>28</v>
      </c>
      <c r="I318" s="3">
        <v>4224409</v>
      </c>
      <c r="J318">
        <v>636</v>
      </c>
      <c r="K318" t="s">
        <v>78</v>
      </c>
      <c r="L318" t="s">
        <v>38</v>
      </c>
      <c r="M318">
        <v>27</v>
      </c>
      <c r="N318" s="3">
        <v>128302.31</v>
      </c>
      <c r="O318" t="s">
        <v>22</v>
      </c>
    </row>
    <row r="319" spans="1:15" x14ac:dyDescent="0.2">
      <c r="A319" t="s">
        <v>570</v>
      </c>
      <c r="B319" t="s">
        <v>571</v>
      </c>
      <c r="C319">
        <v>48</v>
      </c>
      <c r="D319" t="s">
        <v>128</v>
      </c>
      <c r="E319" t="s">
        <v>56</v>
      </c>
      <c r="F319" t="s">
        <v>100</v>
      </c>
      <c r="G319" s="2">
        <v>45978</v>
      </c>
      <c r="H319" t="s">
        <v>28</v>
      </c>
      <c r="I319" s="3">
        <v>3555141</v>
      </c>
      <c r="J319">
        <v>778</v>
      </c>
      <c r="K319" t="s">
        <v>29</v>
      </c>
      <c r="L319" t="s">
        <v>38</v>
      </c>
      <c r="M319">
        <v>28</v>
      </c>
      <c r="N319" s="3">
        <v>8207.44</v>
      </c>
      <c r="O319" t="s">
        <v>335</v>
      </c>
    </row>
    <row r="320" spans="1:15" x14ac:dyDescent="0.2">
      <c r="A320" t="s">
        <v>572</v>
      </c>
      <c r="B320" t="s">
        <v>330</v>
      </c>
      <c r="C320">
        <v>64</v>
      </c>
      <c r="D320" t="s">
        <v>16</v>
      </c>
      <c r="E320" t="s">
        <v>83</v>
      </c>
      <c r="F320" t="s">
        <v>27</v>
      </c>
      <c r="G320" s="2">
        <v>46169</v>
      </c>
      <c r="H320" t="s">
        <v>52</v>
      </c>
      <c r="I320" s="3">
        <v>427216</v>
      </c>
      <c r="J320">
        <v>596</v>
      </c>
      <c r="K320" t="s">
        <v>67</v>
      </c>
      <c r="L320" t="s">
        <v>45</v>
      </c>
      <c r="M320">
        <v>82</v>
      </c>
      <c r="N320" s="3">
        <v>10693.25</v>
      </c>
      <c r="O320" t="s">
        <v>22</v>
      </c>
    </row>
    <row r="321" spans="1:15" x14ac:dyDescent="0.2">
      <c r="A321" t="s">
        <v>573</v>
      </c>
      <c r="B321" t="s">
        <v>344</v>
      </c>
      <c r="C321">
        <v>35</v>
      </c>
      <c r="D321" t="s">
        <v>42</v>
      </c>
      <c r="E321" t="s">
        <v>26</v>
      </c>
      <c r="F321" t="s">
        <v>18</v>
      </c>
      <c r="G321" s="2">
        <v>46057</v>
      </c>
      <c r="H321" t="s">
        <v>28</v>
      </c>
      <c r="I321" s="3">
        <v>2426512</v>
      </c>
      <c r="J321">
        <v>634</v>
      </c>
      <c r="K321" t="s">
        <v>78</v>
      </c>
      <c r="L321" t="s">
        <v>38</v>
      </c>
      <c r="M321">
        <v>80</v>
      </c>
      <c r="N321" s="3">
        <v>2246.79</v>
      </c>
      <c r="O321" t="s">
        <v>22</v>
      </c>
    </row>
    <row r="322" spans="1:15" x14ac:dyDescent="0.2">
      <c r="A322" t="s">
        <v>574</v>
      </c>
      <c r="B322" t="s">
        <v>259</v>
      </c>
      <c r="C322">
        <v>61</v>
      </c>
      <c r="D322" t="s">
        <v>105</v>
      </c>
      <c r="E322" t="s">
        <v>83</v>
      </c>
      <c r="F322" t="s">
        <v>43</v>
      </c>
      <c r="G322" s="2">
        <v>46128</v>
      </c>
      <c r="H322" t="s">
        <v>28</v>
      </c>
      <c r="I322" s="3">
        <v>3933460</v>
      </c>
      <c r="J322">
        <v>848</v>
      </c>
      <c r="K322" t="s">
        <v>92</v>
      </c>
      <c r="L322" t="s">
        <v>45</v>
      </c>
      <c r="M322">
        <v>52</v>
      </c>
      <c r="N322" s="3">
        <v>24216.83</v>
      </c>
      <c r="O322" t="s">
        <v>22</v>
      </c>
    </row>
    <row r="323" spans="1:15" x14ac:dyDescent="0.2">
      <c r="A323" t="s">
        <v>575</v>
      </c>
      <c r="B323" t="s">
        <v>576</v>
      </c>
      <c r="C323">
        <v>43</v>
      </c>
      <c r="D323" t="s">
        <v>25</v>
      </c>
      <c r="E323" t="s">
        <v>26</v>
      </c>
      <c r="F323" t="s">
        <v>27</v>
      </c>
      <c r="G323" s="2">
        <v>45800</v>
      </c>
      <c r="H323" t="s">
        <v>28</v>
      </c>
      <c r="I323" s="3">
        <v>2786015</v>
      </c>
      <c r="J323">
        <v>666</v>
      </c>
      <c r="K323" t="s">
        <v>92</v>
      </c>
      <c r="L323" t="s">
        <v>58</v>
      </c>
      <c r="M323">
        <v>16</v>
      </c>
      <c r="N323" s="3">
        <v>3387.99</v>
      </c>
      <c r="O323" t="s">
        <v>22</v>
      </c>
    </row>
    <row r="324" spans="1:15" x14ac:dyDescent="0.2">
      <c r="A324" t="s">
        <v>577</v>
      </c>
      <c r="B324" t="s">
        <v>578</v>
      </c>
      <c r="C324">
        <v>60</v>
      </c>
      <c r="D324" t="s">
        <v>48</v>
      </c>
      <c r="E324" t="s">
        <v>26</v>
      </c>
      <c r="F324" t="s">
        <v>100</v>
      </c>
      <c r="G324" s="2">
        <v>45749</v>
      </c>
      <c r="H324" t="s">
        <v>19</v>
      </c>
      <c r="I324" s="3">
        <v>373662</v>
      </c>
      <c r="J324">
        <v>608</v>
      </c>
      <c r="K324" t="s">
        <v>29</v>
      </c>
      <c r="L324" t="s">
        <v>30</v>
      </c>
      <c r="M324">
        <v>77</v>
      </c>
      <c r="N324" s="3">
        <v>15531.61</v>
      </c>
      <c r="O324" t="s">
        <v>22</v>
      </c>
    </row>
    <row r="325" spans="1:15" x14ac:dyDescent="0.2">
      <c r="A325" t="s">
        <v>579</v>
      </c>
      <c r="B325" t="s">
        <v>390</v>
      </c>
      <c r="C325">
        <v>31</v>
      </c>
      <c r="D325" t="s">
        <v>70</v>
      </c>
      <c r="E325" t="s">
        <v>26</v>
      </c>
      <c r="F325" t="s">
        <v>27</v>
      </c>
      <c r="G325" s="2">
        <v>46011</v>
      </c>
      <c r="H325" t="s">
        <v>33</v>
      </c>
      <c r="I325" s="3">
        <v>2068352</v>
      </c>
      <c r="J325">
        <v>601</v>
      </c>
      <c r="K325" t="s">
        <v>34</v>
      </c>
      <c r="L325" t="s">
        <v>38</v>
      </c>
      <c r="M325">
        <v>58</v>
      </c>
      <c r="N325" s="3">
        <v>21002.21</v>
      </c>
      <c r="O325" t="s">
        <v>22</v>
      </c>
    </row>
    <row r="326" spans="1:15" x14ac:dyDescent="0.2">
      <c r="A326" t="s">
        <v>580</v>
      </c>
      <c r="B326" t="s">
        <v>293</v>
      </c>
      <c r="C326">
        <v>68</v>
      </c>
      <c r="D326" t="s">
        <v>16</v>
      </c>
      <c r="E326" t="s">
        <v>26</v>
      </c>
      <c r="F326" t="s">
        <v>18</v>
      </c>
      <c r="G326" s="2">
        <v>45708</v>
      </c>
      <c r="H326" t="s">
        <v>28</v>
      </c>
      <c r="I326" s="3">
        <v>3494571</v>
      </c>
      <c r="J326">
        <v>627</v>
      </c>
      <c r="K326" t="s">
        <v>57</v>
      </c>
      <c r="L326" t="s">
        <v>45</v>
      </c>
      <c r="M326">
        <v>93</v>
      </c>
      <c r="N326" s="3">
        <v>9896.66</v>
      </c>
      <c r="O326" t="s">
        <v>22</v>
      </c>
    </row>
    <row r="327" spans="1:15" x14ac:dyDescent="0.2">
      <c r="A327" t="s">
        <v>581</v>
      </c>
      <c r="B327" t="s">
        <v>549</v>
      </c>
      <c r="C327">
        <v>52</v>
      </c>
      <c r="D327" t="s">
        <v>89</v>
      </c>
      <c r="E327" t="s">
        <v>17</v>
      </c>
      <c r="F327" t="s">
        <v>27</v>
      </c>
      <c r="G327" s="2">
        <v>46232</v>
      </c>
      <c r="H327" t="s">
        <v>28</v>
      </c>
      <c r="I327" s="3">
        <v>3144558</v>
      </c>
      <c r="J327">
        <v>584</v>
      </c>
      <c r="K327" t="s">
        <v>92</v>
      </c>
      <c r="L327" t="s">
        <v>58</v>
      </c>
      <c r="M327">
        <v>9</v>
      </c>
      <c r="N327" s="3">
        <v>56659.76</v>
      </c>
      <c r="O327" t="s">
        <v>22</v>
      </c>
    </row>
    <row r="328" spans="1:15" x14ac:dyDescent="0.2">
      <c r="A328" t="s">
        <v>582</v>
      </c>
      <c r="B328" t="s">
        <v>549</v>
      </c>
      <c r="C328">
        <v>56</v>
      </c>
      <c r="D328" t="s">
        <v>55</v>
      </c>
      <c r="E328" t="s">
        <v>26</v>
      </c>
      <c r="F328" t="s">
        <v>18</v>
      </c>
      <c r="G328" s="2">
        <v>45847</v>
      </c>
      <c r="H328" t="s">
        <v>19</v>
      </c>
      <c r="I328" s="3">
        <v>886438</v>
      </c>
      <c r="J328">
        <v>829</v>
      </c>
      <c r="K328" t="s">
        <v>20</v>
      </c>
      <c r="L328" t="s">
        <v>38</v>
      </c>
      <c r="M328">
        <v>26</v>
      </c>
      <c r="N328" s="3">
        <v>4716.21</v>
      </c>
      <c r="O328" t="s">
        <v>22</v>
      </c>
    </row>
    <row r="329" spans="1:15" x14ac:dyDescent="0.2">
      <c r="A329" t="s">
        <v>583</v>
      </c>
      <c r="B329" t="s">
        <v>433</v>
      </c>
      <c r="C329">
        <v>53</v>
      </c>
      <c r="D329" t="s">
        <v>128</v>
      </c>
      <c r="E329" t="s">
        <v>26</v>
      </c>
      <c r="F329" t="s">
        <v>27</v>
      </c>
      <c r="G329" s="2">
        <v>45782</v>
      </c>
      <c r="H329" t="s">
        <v>44</v>
      </c>
      <c r="I329" s="3">
        <v>1730175</v>
      </c>
      <c r="J329">
        <v>742</v>
      </c>
      <c r="K329" t="s">
        <v>57</v>
      </c>
      <c r="L329" t="s">
        <v>21</v>
      </c>
      <c r="M329">
        <v>28</v>
      </c>
      <c r="N329" s="3">
        <v>52016.55</v>
      </c>
      <c r="O329" t="s">
        <v>22</v>
      </c>
    </row>
    <row r="330" spans="1:15" x14ac:dyDescent="0.2">
      <c r="A330" t="s">
        <v>584</v>
      </c>
      <c r="B330" t="s">
        <v>109</v>
      </c>
      <c r="C330">
        <v>44</v>
      </c>
      <c r="D330" t="s">
        <v>55</v>
      </c>
      <c r="E330" t="s">
        <v>17</v>
      </c>
      <c r="F330" t="s">
        <v>43</v>
      </c>
      <c r="G330" s="2">
        <v>45807</v>
      </c>
      <c r="H330" t="s">
        <v>28</v>
      </c>
      <c r="I330" s="3">
        <v>2079484</v>
      </c>
      <c r="J330">
        <v>781</v>
      </c>
      <c r="K330" t="s">
        <v>86</v>
      </c>
      <c r="L330" t="s">
        <v>58</v>
      </c>
      <c r="M330">
        <v>105</v>
      </c>
      <c r="N330" s="3">
        <v>2357.85</v>
      </c>
      <c r="O330" t="s">
        <v>22</v>
      </c>
    </row>
    <row r="331" spans="1:15" x14ac:dyDescent="0.2">
      <c r="A331" t="s">
        <v>585</v>
      </c>
      <c r="B331" t="s">
        <v>115</v>
      </c>
      <c r="C331">
        <v>59</v>
      </c>
      <c r="D331" t="s">
        <v>25</v>
      </c>
      <c r="E331" t="s">
        <v>26</v>
      </c>
      <c r="F331" t="s">
        <v>18</v>
      </c>
      <c r="G331" s="2">
        <v>45971</v>
      </c>
      <c r="H331" t="s">
        <v>28</v>
      </c>
      <c r="I331" s="3">
        <v>1917690</v>
      </c>
      <c r="J331">
        <v>680</v>
      </c>
      <c r="K331" t="s">
        <v>92</v>
      </c>
      <c r="L331" t="s">
        <v>38</v>
      </c>
      <c r="M331">
        <v>77</v>
      </c>
      <c r="N331" s="3">
        <v>20722.59</v>
      </c>
      <c r="O331" t="s">
        <v>22</v>
      </c>
    </row>
    <row r="332" spans="1:15" x14ac:dyDescent="0.2">
      <c r="A332" t="s">
        <v>586</v>
      </c>
      <c r="B332" t="s">
        <v>127</v>
      </c>
      <c r="C332">
        <v>54</v>
      </c>
      <c r="D332" t="s">
        <v>89</v>
      </c>
      <c r="E332" t="s">
        <v>17</v>
      </c>
      <c r="F332" t="s">
        <v>100</v>
      </c>
      <c r="G332" s="2">
        <v>46227</v>
      </c>
      <c r="H332" t="s">
        <v>28</v>
      </c>
      <c r="I332" s="3">
        <v>2219036</v>
      </c>
      <c r="J332">
        <v>650</v>
      </c>
      <c r="K332" t="s">
        <v>20</v>
      </c>
      <c r="L332" t="s">
        <v>58</v>
      </c>
      <c r="M332">
        <v>36</v>
      </c>
      <c r="N332" s="3">
        <v>7711.48</v>
      </c>
      <c r="O332" t="s">
        <v>22</v>
      </c>
    </row>
    <row r="333" spans="1:15" x14ac:dyDescent="0.2">
      <c r="A333" t="s">
        <v>587</v>
      </c>
      <c r="B333" t="s">
        <v>588</v>
      </c>
      <c r="C333">
        <v>48</v>
      </c>
      <c r="D333" t="s">
        <v>89</v>
      </c>
      <c r="E333" t="s">
        <v>26</v>
      </c>
      <c r="F333" t="s">
        <v>100</v>
      </c>
      <c r="G333" s="2">
        <v>45999</v>
      </c>
      <c r="H333" t="s">
        <v>28</v>
      </c>
      <c r="I333" s="3">
        <v>4161451</v>
      </c>
      <c r="J333">
        <v>742</v>
      </c>
      <c r="K333" t="s">
        <v>86</v>
      </c>
      <c r="L333" t="s">
        <v>30</v>
      </c>
      <c r="M333">
        <v>9</v>
      </c>
      <c r="N333" s="3">
        <v>4257.6000000000004</v>
      </c>
      <c r="O333" t="s">
        <v>22</v>
      </c>
    </row>
    <row r="334" spans="1:15" x14ac:dyDescent="0.2">
      <c r="A334" t="s">
        <v>589</v>
      </c>
      <c r="B334" t="s">
        <v>590</v>
      </c>
      <c r="C334">
        <v>57</v>
      </c>
      <c r="D334" t="s">
        <v>89</v>
      </c>
      <c r="E334" t="s">
        <v>56</v>
      </c>
      <c r="F334" t="s">
        <v>18</v>
      </c>
      <c r="G334" s="2">
        <v>45962</v>
      </c>
      <c r="H334" t="s">
        <v>33</v>
      </c>
      <c r="I334" s="3">
        <v>2996153</v>
      </c>
      <c r="J334">
        <v>752</v>
      </c>
      <c r="K334" t="s">
        <v>57</v>
      </c>
      <c r="L334" t="s">
        <v>30</v>
      </c>
      <c r="M334">
        <v>47</v>
      </c>
      <c r="N334" s="3">
        <v>1565.03</v>
      </c>
      <c r="O334" t="s">
        <v>39</v>
      </c>
    </row>
    <row r="335" spans="1:15" x14ac:dyDescent="0.2">
      <c r="A335" t="s">
        <v>591</v>
      </c>
      <c r="B335" t="s">
        <v>592</v>
      </c>
      <c r="C335">
        <v>27</v>
      </c>
      <c r="D335" t="s">
        <v>105</v>
      </c>
      <c r="E335" t="s">
        <v>56</v>
      </c>
      <c r="F335" t="s">
        <v>100</v>
      </c>
      <c r="G335" s="2">
        <v>45711</v>
      </c>
      <c r="H335" t="s">
        <v>44</v>
      </c>
      <c r="I335" s="3">
        <v>1354188</v>
      </c>
      <c r="J335">
        <v>720</v>
      </c>
      <c r="K335" t="s">
        <v>29</v>
      </c>
      <c r="L335" t="s">
        <v>30</v>
      </c>
      <c r="M335">
        <v>78</v>
      </c>
      <c r="N335" s="3">
        <v>6811.02</v>
      </c>
      <c r="O335" t="s">
        <v>39</v>
      </c>
    </row>
    <row r="336" spans="1:15" x14ac:dyDescent="0.2">
      <c r="A336" t="s">
        <v>593</v>
      </c>
      <c r="B336" t="s">
        <v>594</v>
      </c>
      <c r="C336">
        <v>24</v>
      </c>
      <c r="D336" t="s">
        <v>25</v>
      </c>
      <c r="E336" t="s">
        <v>26</v>
      </c>
      <c r="F336" t="s">
        <v>27</v>
      </c>
      <c r="G336" s="2">
        <v>46101</v>
      </c>
      <c r="H336" t="s">
        <v>28</v>
      </c>
      <c r="I336" s="3">
        <v>3959726</v>
      </c>
      <c r="J336">
        <v>717</v>
      </c>
      <c r="K336" t="s">
        <v>86</v>
      </c>
      <c r="L336" t="s">
        <v>21</v>
      </c>
      <c r="M336">
        <v>51</v>
      </c>
      <c r="N336" s="3">
        <v>6374.07</v>
      </c>
      <c r="O336" t="s">
        <v>39</v>
      </c>
    </row>
    <row r="337" spans="1:15" x14ac:dyDescent="0.2">
      <c r="A337" t="s">
        <v>595</v>
      </c>
      <c r="B337" t="s">
        <v>596</v>
      </c>
      <c r="C337">
        <v>57</v>
      </c>
      <c r="D337" t="s">
        <v>75</v>
      </c>
      <c r="E337" t="s">
        <v>26</v>
      </c>
      <c r="F337" t="s">
        <v>27</v>
      </c>
      <c r="G337" s="2">
        <v>45921</v>
      </c>
      <c r="H337" t="s">
        <v>44</v>
      </c>
      <c r="I337" s="3">
        <v>4033112</v>
      </c>
      <c r="J337">
        <v>645</v>
      </c>
      <c r="K337" t="s">
        <v>78</v>
      </c>
      <c r="L337" t="s">
        <v>30</v>
      </c>
      <c r="M337">
        <v>76</v>
      </c>
      <c r="N337" s="3">
        <v>10738.08</v>
      </c>
      <c r="O337" t="s">
        <v>22</v>
      </c>
    </row>
    <row r="338" spans="1:15" x14ac:dyDescent="0.2">
      <c r="A338" t="s">
        <v>597</v>
      </c>
      <c r="B338" t="s">
        <v>598</v>
      </c>
      <c r="C338">
        <v>21</v>
      </c>
      <c r="D338" t="s">
        <v>55</v>
      </c>
      <c r="E338" t="s">
        <v>26</v>
      </c>
      <c r="F338" t="s">
        <v>27</v>
      </c>
      <c r="G338" s="2">
        <v>45710</v>
      </c>
      <c r="H338" t="s">
        <v>28</v>
      </c>
      <c r="I338" s="3">
        <v>2556569</v>
      </c>
      <c r="J338">
        <v>777</v>
      </c>
      <c r="K338" t="s">
        <v>29</v>
      </c>
      <c r="L338" t="s">
        <v>21</v>
      </c>
      <c r="M338">
        <v>117</v>
      </c>
      <c r="N338" s="3">
        <v>19169.12</v>
      </c>
      <c r="O338" t="s">
        <v>22</v>
      </c>
    </row>
    <row r="339" spans="1:15" x14ac:dyDescent="0.2">
      <c r="A339" t="s">
        <v>599</v>
      </c>
      <c r="B339" t="s">
        <v>600</v>
      </c>
      <c r="C339">
        <v>21</v>
      </c>
      <c r="D339" t="s">
        <v>75</v>
      </c>
      <c r="E339" t="s">
        <v>56</v>
      </c>
      <c r="F339" t="s">
        <v>27</v>
      </c>
      <c r="G339" s="2">
        <v>46229</v>
      </c>
      <c r="H339" t="s">
        <v>52</v>
      </c>
      <c r="I339" s="3">
        <v>461463</v>
      </c>
      <c r="J339">
        <v>807</v>
      </c>
      <c r="K339" t="s">
        <v>29</v>
      </c>
      <c r="L339" t="s">
        <v>30</v>
      </c>
      <c r="M339">
        <v>57</v>
      </c>
      <c r="N339" s="3">
        <v>3831.88</v>
      </c>
      <c r="O339" t="s">
        <v>39</v>
      </c>
    </row>
    <row r="340" spans="1:15" x14ac:dyDescent="0.2">
      <c r="A340" t="s">
        <v>601</v>
      </c>
      <c r="B340" t="s">
        <v>303</v>
      </c>
      <c r="C340">
        <v>67</v>
      </c>
      <c r="D340" t="s">
        <v>16</v>
      </c>
      <c r="E340" t="s">
        <v>26</v>
      </c>
      <c r="F340" t="s">
        <v>27</v>
      </c>
      <c r="G340" s="2">
        <v>45662</v>
      </c>
      <c r="H340" t="s">
        <v>52</v>
      </c>
      <c r="I340" s="3">
        <v>1917788</v>
      </c>
      <c r="J340">
        <v>751</v>
      </c>
      <c r="K340" t="s">
        <v>57</v>
      </c>
      <c r="L340" t="s">
        <v>58</v>
      </c>
      <c r="M340">
        <v>32</v>
      </c>
      <c r="N340" s="3">
        <v>56736.959999999999</v>
      </c>
      <c r="O340" t="s">
        <v>22</v>
      </c>
    </row>
    <row r="341" spans="1:15" x14ac:dyDescent="0.2">
      <c r="A341" t="s">
        <v>602</v>
      </c>
      <c r="B341" t="s">
        <v>346</v>
      </c>
      <c r="C341">
        <v>40</v>
      </c>
      <c r="D341" t="s">
        <v>51</v>
      </c>
      <c r="E341" t="s">
        <v>26</v>
      </c>
      <c r="F341" t="s">
        <v>43</v>
      </c>
      <c r="G341" s="2">
        <v>45760</v>
      </c>
      <c r="H341" t="s">
        <v>28</v>
      </c>
      <c r="I341" s="3">
        <v>518602</v>
      </c>
      <c r="J341">
        <v>619</v>
      </c>
      <c r="K341" t="s">
        <v>57</v>
      </c>
      <c r="L341" t="s">
        <v>38</v>
      </c>
      <c r="M341">
        <v>102</v>
      </c>
      <c r="N341" s="3">
        <v>5087.4799999999996</v>
      </c>
      <c r="O341" t="s">
        <v>22</v>
      </c>
    </row>
    <row r="342" spans="1:15" x14ac:dyDescent="0.2">
      <c r="A342" t="s">
        <v>603</v>
      </c>
      <c r="B342" t="s">
        <v>154</v>
      </c>
      <c r="C342">
        <v>39</v>
      </c>
      <c r="D342" t="s">
        <v>42</v>
      </c>
      <c r="E342" t="s">
        <v>26</v>
      </c>
      <c r="F342" t="s">
        <v>27</v>
      </c>
      <c r="G342" s="2">
        <v>45853</v>
      </c>
      <c r="H342" t="s">
        <v>28</v>
      </c>
      <c r="I342" s="3">
        <v>2644820</v>
      </c>
      <c r="J342">
        <v>586</v>
      </c>
      <c r="K342" t="s">
        <v>20</v>
      </c>
      <c r="L342" t="s">
        <v>38</v>
      </c>
      <c r="M342">
        <v>67</v>
      </c>
      <c r="N342" s="3">
        <v>16853.330000000002</v>
      </c>
      <c r="O342" t="s">
        <v>22</v>
      </c>
    </row>
    <row r="343" spans="1:15" x14ac:dyDescent="0.2">
      <c r="A343" t="s">
        <v>604</v>
      </c>
      <c r="B343" t="s">
        <v>161</v>
      </c>
      <c r="C343">
        <v>49</v>
      </c>
      <c r="D343" t="s">
        <v>42</v>
      </c>
      <c r="E343" t="s">
        <v>26</v>
      </c>
      <c r="F343" t="s">
        <v>18</v>
      </c>
      <c r="G343" s="2">
        <v>46007</v>
      </c>
      <c r="H343" t="s">
        <v>33</v>
      </c>
      <c r="I343" s="3">
        <v>912213</v>
      </c>
      <c r="J343">
        <v>753</v>
      </c>
      <c r="K343" t="s">
        <v>20</v>
      </c>
      <c r="L343" t="s">
        <v>30</v>
      </c>
      <c r="M343">
        <v>57</v>
      </c>
      <c r="N343" s="3">
        <v>9844.57</v>
      </c>
      <c r="O343" t="s">
        <v>22</v>
      </c>
    </row>
    <row r="344" spans="1:15" x14ac:dyDescent="0.2">
      <c r="A344" t="s">
        <v>605</v>
      </c>
      <c r="B344" t="s">
        <v>445</v>
      </c>
      <c r="C344">
        <v>30</v>
      </c>
      <c r="D344" t="s">
        <v>75</v>
      </c>
      <c r="E344" t="s">
        <v>26</v>
      </c>
      <c r="F344" t="s">
        <v>27</v>
      </c>
      <c r="G344" s="2">
        <v>45704</v>
      </c>
      <c r="H344" t="s">
        <v>28</v>
      </c>
      <c r="I344" s="3">
        <v>2441306</v>
      </c>
      <c r="J344">
        <v>730</v>
      </c>
      <c r="K344" t="s">
        <v>78</v>
      </c>
      <c r="L344" t="s">
        <v>38</v>
      </c>
      <c r="M344">
        <v>54</v>
      </c>
      <c r="N344" s="3">
        <v>7268.86</v>
      </c>
      <c r="O344" t="s">
        <v>22</v>
      </c>
    </row>
    <row r="345" spans="1:15" x14ac:dyDescent="0.2">
      <c r="A345" t="s">
        <v>606</v>
      </c>
      <c r="B345" t="s">
        <v>607</v>
      </c>
      <c r="C345">
        <v>38</v>
      </c>
      <c r="D345" t="s">
        <v>51</v>
      </c>
      <c r="E345" t="s">
        <v>56</v>
      </c>
      <c r="F345" t="s">
        <v>27</v>
      </c>
      <c r="G345" s="2">
        <v>45926</v>
      </c>
      <c r="H345" t="s">
        <v>28</v>
      </c>
      <c r="I345" s="3">
        <v>2923683</v>
      </c>
      <c r="J345">
        <v>790</v>
      </c>
      <c r="K345" t="s">
        <v>29</v>
      </c>
      <c r="L345" t="s">
        <v>30</v>
      </c>
      <c r="M345">
        <v>116</v>
      </c>
      <c r="N345" s="3">
        <v>9339.99</v>
      </c>
      <c r="O345" t="s">
        <v>22</v>
      </c>
    </row>
    <row r="346" spans="1:15" x14ac:dyDescent="0.2">
      <c r="A346" t="s">
        <v>608</v>
      </c>
      <c r="B346" t="s">
        <v>492</v>
      </c>
      <c r="C346">
        <v>48</v>
      </c>
      <c r="D346" t="s">
        <v>51</v>
      </c>
      <c r="E346" t="s">
        <v>26</v>
      </c>
      <c r="F346" t="s">
        <v>43</v>
      </c>
      <c r="G346" s="2">
        <v>46027</v>
      </c>
      <c r="H346" t="s">
        <v>33</v>
      </c>
      <c r="I346" s="3">
        <v>4096703</v>
      </c>
      <c r="J346">
        <v>665</v>
      </c>
      <c r="K346" t="s">
        <v>67</v>
      </c>
      <c r="L346" t="s">
        <v>30</v>
      </c>
      <c r="M346">
        <v>16</v>
      </c>
      <c r="N346" s="3">
        <v>3336.57</v>
      </c>
      <c r="O346" t="s">
        <v>22</v>
      </c>
    </row>
    <row r="347" spans="1:15" x14ac:dyDescent="0.2">
      <c r="A347" t="s">
        <v>609</v>
      </c>
      <c r="B347" t="s">
        <v>367</v>
      </c>
      <c r="C347">
        <v>55</v>
      </c>
      <c r="D347" t="s">
        <v>128</v>
      </c>
      <c r="E347" t="s">
        <v>26</v>
      </c>
      <c r="F347" t="s">
        <v>18</v>
      </c>
      <c r="G347" s="2">
        <v>45763</v>
      </c>
      <c r="H347" t="s">
        <v>19</v>
      </c>
      <c r="I347" s="3">
        <v>2757720</v>
      </c>
      <c r="J347">
        <v>832</v>
      </c>
      <c r="K347" t="s">
        <v>34</v>
      </c>
      <c r="L347" t="s">
        <v>45</v>
      </c>
      <c r="M347">
        <v>62</v>
      </c>
      <c r="N347" s="3">
        <v>5961.37</v>
      </c>
      <c r="O347" t="s">
        <v>22</v>
      </c>
    </row>
    <row r="348" spans="1:15" x14ac:dyDescent="0.2">
      <c r="A348" t="s">
        <v>610</v>
      </c>
      <c r="B348" t="s">
        <v>611</v>
      </c>
      <c r="C348">
        <v>63</v>
      </c>
      <c r="D348" t="s">
        <v>16</v>
      </c>
      <c r="E348" t="s">
        <v>56</v>
      </c>
      <c r="F348" t="s">
        <v>18</v>
      </c>
      <c r="G348" s="2">
        <v>45777</v>
      </c>
      <c r="H348" t="s">
        <v>28</v>
      </c>
      <c r="I348" s="3">
        <v>3992849</v>
      </c>
      <c r="J348">
        <v>600</v>
      </c>
      <c r="K348" t="s">
        <v>78</v>
      </c>
      <c r="L348" t="s">
        <v>45</v>
      </c>
      <c r="M348">
        <v>84</v>
      </c>
      <c r="N348" s="3">
        <v>2193.5100000000002</v>
      </c>
      <c r="O348" t="s">
        <v>22</v>
      </c>
    </row>
    <row r="349" spans="1:15" x14ac:dyDescent="0.2">
      <c r="A349" t="s">
        <v>612</v>
      </c>
      <c r="B349" t="s">
        <v>394</v>
      </c>
      <c r="C349">
        <v>67</v>
      </c>
      <c r="D349" t="s">
        <v>25</v>
      </c>
      <c r="E349" t="s">
        <v>56</v>
      </c>
      <c r="F349" t="s">
        <v>43</v>
      </c>
      <c r="G349" s="2">
        <v>46261</v>
      </c>
      <c r="H349" t="s">
        <v>52</v>
      </c>
      <c r="I349" s="3">
        <v>343476</v>
      </c>
      <c r="J349">
        <v>836</v>
      </c>
      <c r="K349" t="s">
        <v>78</v>
      </c>
      <c r="L349" t="s">
        <v>45</v>
      </c>
      <c r="M349">
        <v>96</v>
      </c>
      <c r="N349" s="3">
        <v>5030.46</v>
      </c>
      <c r="O349" t="s">
        <v>22</v>
      </c>
    </row>
    <row r="350" spans="1:15" x14ac:dyDescent="0.2">
      <c r="A350" t="s">
        <v>613</v>
      </c>
      <c r="B350" t="s">
        <v>614</v>
      </c>
      <c r="C350">
        <v>51</v>
      </c>
      <c r="D350" t="s">
        <v>51</v>
      </c>
      <c r="E350" t="s">
        <v>26</v>
      </c>
      <c r="F350" t="s">
        <v>27</v>
      </c>
      <c r="G350" s="2">
        <v>45715</v>
      </c>
      <c r="H350" t="s">
        <v>28</v>
      </c>
      <c r="I350" s="3">
        <v>364560</v>
      </c>
      <c r="K350" t="s">
        <v>34</v>
      </c>
      <c r="L350" t="s">
        <v>21</v>
      </c>
      <c r="M350">
        <v>56</v>
      </c>
      <c r="N350" s="3">
        <v>5486.25</v>
      </c>
      <c r="O350" t="s">
        <v>22</v>
      </c>
    </row>
    <row r="351" spans="1:15" x14ac:dyDescent="0.2">
      <c r="A351" t="s">
        <v>615</v>
      </c>
      <c r="B351" t="s">
        <v>392</v>
      </c>
      <c r="C351">
        <v>47</v>
      </c>
      <c r="D351" t="s">
        <v>48</v>
      </c>
      <c r="E351" t="s">
        <v>26</v>
      </c>
      <c r="F351" t="s">
        <v>43</v>
      </c>
      <c r="G351" s="2">
        <v>46003</v>
      </c>
      <c r="H351" t="s">
        <v>52</v>
      </c>
      <c r="I351" s="3">
        <v>1599987</v>
      </c>
      <c r="J351">
        <v>839</v>
      </c>
      <c r="K351" t="s">
        <v>34</v>
      </c>
      <c r="L351" t="s">
        <v>45</v>
      </c>
      <c r="M351">
        <v>23</v>
      </c>
      <c r="N351" s="3">
        <v>21752.47</v>
      </c>
      <c r="O351" t="s">
        <v>335</v>
      </c>
    </row>
    <row r="352" spans="1:15" x14ac:dyDescent="0.2">
      <c r="A352" t="s">
        <v>616</v>
      </c>
      <c r="B352" t="s">
        <v>617</v>
      </c>
      <c r="C352">
        <v>31</v>
      </c>
      <c r="D352" t="s">
        <v>37</v>
      </c>
      <c r="E352" t="s">
        <v>26</v>
      </c>
      <c r="F352" t="s">
        <v>27</v>
      </c>
      <c r="G352" s="2">
        <v>46131</v>
      </c>
      <c r="H352" t="s">
        <v>33</v>
      </c>
      <c r="I352" s="3">
        <v>3957957</v>
      </c>
      <c r="J352">
        <v>813</v>
      </c>
      <c r="K352" t="s">
        <v>34</v>
      </c>
      <c r="L352" t="s">
        <v>30</v>
      </c>
      <c r="M352">
        <v>17</v>
      </c>
      <c r="N352" s="3">
        <v>6320.03</v>
      </c>
      <c r="O352" t="s">
        <v>22</v>
      </c>
    </row>
    <row r="353" spans="1:15" x14ac:dyDescent="0.2">
      <c r="A353" t="s">
        <v>618</v>
      </c>
      <c r="B353" t="s">
        <v>268</v>
      </c>
      <c r="C353">
        <v>69</v>
      </c>
      <c r="D353" t="s">
        <v>42</v>
      </c>
      <c r="E353" t="s">
        <v>83</v>
      </c>
      <c r="F353" t="s">
        <v>27</v>
      </c>
      <c r="G353" s="2">
        <v>45774</v>
      </c>
      <c r="H353" t="s">
        <v>44</v>
      </c>
      <c r="I353" s="3">
        <v>1119241</v>
      </c>
      <c r="J353">
        <v>582</v>
      </c>
      <c r="K353" t="s">
        <v>57</v>
      </c>
      <c r="L353" t="s">
        <v>58</v>
      </c>
      <c r="M353">
        <v>80</v>
      </c>
      <c r="N353" s="3">
        <v>5594.36</v>
      </c>
      <c r="O353" t="s">
        <v>22</v>
      </c>
    </row>
    <row r="354" spans="1:15" x14ac:dyDescent="0.2">
      <c r="A354" t="s">
        <v>619</v>
      </c>
      <c r="B354" t="s">
        <v>359</v>
      </c>
      <c r="C354">
        <v>69</v>
      </c>
      <c r="D354" t="s">
        <v>48</v>
      </c>
      <c r="E354" t="s">
        <v>26</v>
      </c>
      <c r="F354" t="s">
        <v>27</v>
      </c>
      <c r="G354" s="2">
        <v>45784</v>
      </c>
      <c r="H354" t="s">
        <v>28</v>
      </c>
      <c r="I354" s="3">
        <v>799656</v>
      </c>
      <c r="J354">
        <v>806</v>
      </c>
      <c r="K354" t="s">
        <v>78</v>
      </c>
      <c r="L354" t="s">
        <v>45</v>
      </c>
      <c r="M354">
        <v>38</v>
      </c>
      <c r="N354" s="3">
        <v>11282.88</v>
      </c>
      <c r="O354" t="s">
        <v>22</v>
      </c>
    </row>
    <row r="355" spans="1:15" x14ac:dyDescent="0.2">
      <c r="A355" t="s">
        <v>620</v>
      </c>
      <c r="B355" t="s">
        <v>484</v>
      </c>
      <c r="C355">
        <v>58</v>
      </c>
      <c r="D355" t="s">
        <v>16</v>
      </c>
      <c r="E355" t="s">
        <v>83</v>
      </c>
      <c r="F355" t="s">
        <v>27</v>
      </c>
      <c r="G355" s="2">
        <v>46050</v>
      </c>
      <c r="H355" t="s">
        <v>33</v>
      </c>
      <c r="I355" s="3">
        <v>3688856</v>
      </c>
      <c r="J355">
        <v>649</v>
      </c>
      <c r="K355" t="s">
        <v>78</v>
      </c>
      <c r="L355" t="s">
        <v>45</v>
      </c>
      <c r="M355">
        <v>72</v>
      </c>
      <c r="N355" s="3">
        <v>10828.05</v>
      </c>
      <c r="O355" t="s">
        <v>22</v>
      </c>
    </row>
    <row r="356" spans="1:15" x14ac:dyDescent="0.2">
      <c r="A356" t="s">
        <v>621</v>
      </c>
      <c r="B356" t="s">
        <v>622</v>
      </c>
      <c r="C356">
        <v>25</v>
      </c>
      <c r="D356" t="s">
        <v>51</v>
      </c>
      <c r="E356" t="s">
        <v>17</v>
      </c>
      <c r="F356" t="s">
        <v>27</v>
      </c>
      <c r="G356" s="2">
        <v>45715</v>
      </c>
      <c r="H356" t="s">
        <v>33</v>
      </c>
      <c r="I356" s="3">
        <v>3830885</v>
      </c>
      <c r="J356">
        <v>833</v>
      </c>
      <c r="K356" t="s">
        <v>86</v>
      </c>
      <c r="L356" t="s">
        <v>58</v>
      </c>
      <c r="M356">
        <v>83</v>
      </c>
      <c r="N356" s="3">
        <v>4814.6000000000004</v>
      </c>
      <c r="O356" t="s">
        <v>22</v>
      </c>
    </row>
    <row r="357" spans="1:15" x14ac:dyDescent="0.2">
      <c r="A357" t="s">
        <v>623</v>
      </c>
      <c r="B357" t="s">
        <v>624</v>
      </c>
      <c r="C357">
        <v>28</v>
      </c>
      <c r="D357" t="s">
        <v>55</v>
      </c>
      <c r="E357" t="s">
        <v>17</v>
      </c>
      <c r="F357" t="s">
        <v>100</v>
      </c>
      <c r="G357" s="2">
        <v>46170</v>
      </c>
      <c r="H357" t="s">
        <v>28</v>
      </c>
      <c r="I357" s="3">
        <v>3653209</v>
      </c>
      <c r="J357">
        <v>723</v>
      </c>
      <c r="K357" t="s">
        <v>34</v>
      </c>
      <c r="L357" t="s">
        <v>30</v>
      </c>
      <c r="M357">
        <v>30</v>
      </c>
      <c r="N357" s="3">
        <v>13547.26</v>
      </c>
      <c r="O357" t="s">
        <v>22</v>
      </c>
    </row>
    <row r="358" spans="1:15" x14ac:dyDescent="0.2">
      <c r="A358" t="s">
        <v>625</v>
      </c>
      <c r="B358" t="s">
        <v>266</v>
      </c>
      <c r="C358">
        <v>54</v>
      </c>
      <c r="D358" t="s">
        <v>42</v>
      </c>
      <c r="E358" t="s">
        <v>26</v>
      </c>
      <c r="F358" t="s">
        <v>100</v>
      </c>
      <c r="G358" s="2">
        <v>45753</v>
      </c>
      <c r="H358" t="s">
        <v>28</v>
      </c>
      <c r="I358" s="3">
        <v>2347953</v>
      </c>
      <c r="J358">
        <v>603</v>
      </c>
      <c r="K358" t="s">
        <v>34</v>
      </c>
      <c r="L358" t="s">
        <v>21</v>
      </c>
      <c r="M358">
        <v>58</v>
      </c>
      <c r="N358" s="3">
        <v>7423.61</v>
      </c>
      <c r="O358" t="s">
        <v>22</v>
      </c>
    </row>
    <row r="359" spans="1:15" x14ac:dyDescent="0.2">
      <c r="A359" t="s">
        <v>626</v>
      </c>
      <c r="B359" t="s">
        <v>72</v>
      </c>
      <c r="C359">
        <v>68</v>
      </c>
      <c r="D359" t="s">
        <v>128</v>
      </c>
      <c r="E359" t="s">
        <v>26</v>
      </c>
      <c r="F359" t="s">
        <v>27</v>
      </c>
      <c r="G359" s="2">
        <v>45775</v>
      </c>
      <c r="H359" t="s">
        <v>28</v>
      </c>
      <c r="I359" s="3">
        <v>2977978</v>
      </c>
      <c r="J359">
        <v>813</v>
      </c>
      <c r="K359" t="s">
        <v>20</v>
      </c>
      <c r="L359" t="s">
        <v>45</v>
      </c>
      <c r="M359">
        <v>98</v>
      </c>
      <c r="N359" s="3">
        <v>4806.3999999999996</v>
      </c>
      <c r="O359" t="s">
        <v>22</v>
      </c>
    </row>
    <row r="360" spans="1:15" x14ac:dyDescent="0.2">
      <c r="A360" t="s">
        <v>627</v>
      </c>
      <c r="B360" t="s">
        <v>325</v>
      </c>
      <c r="C360">
        <v>32</v>
      </c>
      <c r="D360" t="s">
        <v>70</v>
      </c>
      <c r="E360" t="s">
        <v>26</v>
      </c>
      <c r="F360" t="s">
        <v>27</v>
      </c>
      <c r="G360" s="2">
        <v>46217</v>
      </c>
      <c r="H360" t="s">
        <v>28</v>
      </c>
      <c r="I360" s="3">
        <v>3245785</v>
      </c>
      <c r="J360">
        <v>754</v>
      </c>
      <c r="K360" t="s">
        <v>20</v>
      </c>
      <c r="L360" t="s">
        <v>58</v>
      </c>
      <c r="M360">
        <v>78</v>
      </c>
      <c r="N360" s="3">
        <v>5322.76</v>
      </c>
      <c r="O360" t="s">
        <v>22</v>
      </c>
    </row>
    <row r="361" spans="1:15" x14ac:dyDescent="0.2">
      <c r="A361" t="s">
        <v>628</v>
      </c>
      <c r="B361" t="s">
        <v>228</v>
      </c>
      <c r="C361">
        <v>58</v>
      </c>
      <c r="D361" t="s">
        <v>128</v>
      </c>
      <c r="E361" t="s">
        <v>26</v>
      </c>
      <c r="F361" t="s">
        <v>27</v>
      </c>
      <c r="G361" s="2">
        <v>46258</v>
      </c>
      <c r="H361" t="s">
        <v>44</v>
      </c>
      <c r="I361" s="3">
        <v>4230125</v>
      </c>
      <c r="J361">
        <v>738</v>
      </c>
      <c r="K361" t="s">
        <v>29</v>
      </c>
      <c r="L361" t="s">
        <v>30</v>
      </c>
      <c r="M361">
        <v>22</v>
      </c>
      <c r="N361" s="3">
        <v>24265.68</v>
      </c>
      <c r="O361" t="s">
        <v>22</v>
      </c>
    </row>
    <row r="362" spans="1:15" x14ac:dyDescent="0.2">
      <c r="A362" t="s">
        <v>629</v>
      </c>
      <c r="B362" t="s">
        <v>630</v>
      </c>
      <c r="C362">
        <v>21</v>
      </c>
      <c r="D362" t="s">
        <v>37</v>
      </c>
      <c r="E362" t="s">
        <v>17</v>
      </c>
      <c r="F362" t="s">
        <v>27</v>
      </c>
      <c r="G362" s="2">
        <v>46145</v>
      </c>
      <c r="H362" t="s">
        <v>28</v>
      </c>
      <c r="I362" s="3">
        <v>2076629</v>
      </c>
      <c r="J362">
        <v>597</v>
      </c>
      <c r="K362" t="s">
        <v>20</v>
      </c>
      <c r="L362" t="s">
        <v>38</v>
      </c>
      <c r="M362">
        <v>108</v>
      </c>
      <c r="N362" s="3">
        <v>5493.39</v>
      </c>
      <c r="O362" t="s">
        <v>22</v>
      </c>
    </row>
    <row r="363" spans="1:15" x14ac:dyDescent="0.2">
      <c r="A363" t="s">
        <v>631</v>
      </c>
      <c r="B363" t="s">
        <v>632</v>
      </c>
      <c r="C363">
        <v>51</v>
      </c>
      <c r="D363" t="s">
        <v>89</v>
      </c>
      <c r="E363" t="s">
        <v>83</v>
      </c>
      <c r="F363" t="s">
        <v>100</v>
      </c>
      <c r="G363" s="2">
        <v>45894</v>
      </c>
      <c r="H363" t="s">
        <v>28</v>
      </c>
      <c r="I363" s="3">
        <v>2645265</v>
      </c>
      <c r="J363">
        <v>623</v>
      </c>
      <c r="K363" t="s">
        <v>92</v>
      </c>
      <c r="L363" t="s">
        <v>21</v>
      </c>
      <c r="M363">
        <v>17</v>
      </c>
      <c r="N363" s="3">
        <v>11780.27</v>
      </c>
      <c r="O363" t="s">
        <v>22</v>
      </c>
    </row>
    <row r="364" spans="1:15" x14ac:dyDescent="0.2">
      <c r="A364" t="s">
        <v>633</v>
      </c>
      <c r="B364" t="s">
        <v>85</v>
      </c>
      <c r="C364">
        <v>24</v>
      </c>
      <c r="D364" t="s">
        <v>70</v>
      </c>
      <c r="E364" t="s">
        <v>17</v>
      </c>
      <c r="F364" t="s">
        <v>27</v>
      </c>
      <c r="G364" s="2">
        <v>45929</v>
      </c>
      <c r="H364" t="s">
        <v>52</v>
      </c>
      <c r="I364" s="3">
        <v>341679</v>
      </c>
      <c r="J364">
        <v>734</v>
      </c>
      <c r="K364" t="s">
        <v>29</v>
      </c>
      <c r="L364" t="s">
        <v>58</v>
      </c>
      <c r="M364">
        <v>15</v>
      </c>
      <c r="N364" s="3">
        <v>2329.66</v>
      </c>
      <c r="O364" t="s">
        <v>22</v>
      </c>
    </row>
    <row r="365" spans="1:15" x14ac:dyDescent="0.2">
      <c r="A365" t="s">
        <v>634</v>
      </c>
      <c r="B365" t="s">
        <v>371</v>
      </c>
      <c r="C365">
        <v>69</v>
      </c>
      <c r="D365" t="s">
        <v>105</v>
      </c>
      <c r="E365" t="s">
        <v>56</v>
      </c>
      <c r="F365" t="s">
        <v>18</v>
      </c>
      <c r="G365" s="2">
        <v>45846</v>
      </c>
      <c r="H365" t="s">
        <v>28</v>
      </c>
      <c r="I365" s="3">
        <v>3028217</v>
      </c>
      <c r="J365">
        <v>810</v>
      </c>
      <c r="K365" t="s">
        <v>67</v>
      </c>
      <c r="L365" t="s">
        <v>58</v>
      </c>
      <c r="M365">
        <v>114</v>
      </c>
      <c r="N365" s="3">
        <v>28884.78</v>
      </c>
      <c r="O365" t="s">
        <v>22</v>
      </c>
    </row>
    <row r="366" spans="1:15" x14ac:dyDescent="0.2">
      <c r="A366" t="s">
        <v>635</v>
      </c>
      <c r="B366" t="s">
        <v>439</v>
      </c>
      <c r="C366">
        <v>65</v>
      </c>
      <c r="D366" t="s">
        <v>51</v>
      </c>
      <c r="E366" t="s">
        <v>26</v>
      </c>
      <c r="F366" t="s">
        <v>27</v>
      </c>
      <c r="G366" s="2">
        <v>46104</v>
      </c>
      <c r="H366" t="s">
        <v>28</v>
      </c>
      <c r="I366" s="3">
        <v>1589083</v>
      </c>
      <c r="J366">
        <v>804</v>
      </c>
      <c r="K366" t="s">
        <v>34</v>
      </c>
      <c r="L366" t="s">
        <v>58</v>
      </c>
      <c r="M366">
        <v>48</v>
      </c>
      <c r="N366" s="3">
        <v>4855.4399999999996</v>
      </c>
      <c r="O366" t="s">
        <v>22</v>
      </c>
    </row>
    <row r="367" spans="1:15" x14ac:dyDescent="0.2">
      <c r="A367" t="s">
        <v>636</v>
      </c>
      <c r="B367" t="s">
        <v>460</v>
      </c>
      <c r="C367">
        <v>70</v>
      </c>
      <c r="D367" t="s">
        <v>16</v>
      </c>
      <c r="E367" t="s">
        <v>26</v>
      </c>
      <c r="F367" t="s">
        <v>100</v>
      </c>
      <c r="G367" s="2">
        <v>46238</v>
      </c>
      <c r="H367" t="s">
        <v>28</v>
      </c>
      <c r="I367" s="3">
        <v>3274628</v>
      </c>
      <c r="J367">
        <v>796</v>
      </c>
      <c r="K367" t="s">
        <v>86</v>
      </c>
      <c r="L367" t="s">
        <v>45</v>
      </c>
      <c r="M367">
        <v>32</v>
      </c>
      <c r="N367" s="3">
        <v>13633.75</v>
      </c>
      <c r="O367" t="s">
        <v>22</v>
      </c>
    </row>
    <row r="368" spans="1:15" x14ac:dyDescent="0.2">
      <c r="A368" t="s">
        <v>637</v>
      </c>
      <c r="B368" t="s">
        <v>638</v>
      </c>
      <c r="C368">
        <v>25</v>
      </c>
      <c r="D368" t="s">
        <v>42</v>
      </c>
      <c r="E368" t="s">
        <v>26</v>
      </c>
      <c r="F368" t="s">
        <v>27</v>
      </c>
      <c r="G368" s="2">
        <v>45904</v>
      </c>
      <c r="H368" t="s">
        <v>19</v>
      </c>
      <c r="I368" s="3">
        <v>3953367</v>
      </c>
      <c r="J368">
        <v>635</v>
      </c>
      <c r="K368" t="s">
        <v>20</v>
      </c>
      <c r="L368" t="s">
        <v>38</v>
      </c>
      <c r="M368">
        <v>77</v>
      </c>
      <c r="N368" s="3">
        <v>6876.42</v>
      </c>
      <c r="O368" t="s">
        <v>22</v>
      </c>
    </row>
    <row r="369" spans="1:15" x14ac:dyDescent="0.2">
      <c r="A369" t="s">
        <v>639</v>
      </c>
      <c r="B369" t="s">
        <v>596</v>
      </c>
      <c r="C369">
        <v>50</v>
      </c>
      <c r="D369" t="s">
        <v>105</v>
      </c>
      <c r="E369" t="s">
        <v>17</v>
      </c>
      <c r="F369" t="s">
        <v>18</v>
      </c>
      <c r="G369" s="2">
        <v>45733</v>
      </c>
      <c r="H369" t="s">
        <v>44</v>
      </c>
      <c r="I369" s="3">
        <v>4140702</v>
      </c>
      <c r="J369">
        <v>610</v>
      </c>
      <c r="K369" t="s">
        <v>86</v>
      </c>
      <c r="L369" t="s">
        <v>21</v>
      </c>
      <c r="M369">
        <v>85</v>
      </c>
      <c r="N369" s="3">
        <v>13470.75</v>
      </c>
      <c r="O369" t="s">
        <v>22</v>
      </c>
    </row>
    <row r="370" spans="1:15" x14ac:dyDescent="0.2">
      <c r="A370" t="s">
        <v>640</v>
      </c>
      <c r="B370" t="s">
        <v>80</v>
      </c>
      <c r="C370">
        <v>44</v>
      </c>
      <c r="D370" t="s">
        <v>16</v>
      </c>
      <c r="E370" t="s">
        <v>83</v>
      </c>
      <c r="F370" t="s">
        <v>27</v>
      </c>
      <c r="G370" s="2">
        <v>45811</v>
      </c>
      <c r="H370" t="s">
        <v>44</v>
      </c>
      <c r="I370" s="3">
        <v>4238395</v>
      </c>
      <c r="J370">
        <v>638</v>
      </c>
      <c r="K370" t="s">
        <v>20</v>
      </c>
      <c r="L370" t="s">
        <v>30</v>
      </c>
      <c r="M370">
        <v>113</v>
      </c>
      <c r="N370" s="3">
        <v>14265.68</v>
      </c>
      <c r="O370" t="s">
        <v>22</v>
      </c>
    </row>
    <row r="371" spans="1:15" x14ac:dyDescent="0.2">
      <c r="A371" t="s">
        <v>641</v>
      </c>
      <c r="B371" t="s">
        <v>642</v>
      </c>
      <c r="C371">
        <v>23</v>
      </c>
      <c r="D371" t="s">
        <v>37</v>
      </c>
      <c r="E371" t="s">
        <v>17</v>
      </c>
      <c r="F371" t="s">
        <v>43</v>
      </c>
      <c r="G371" s="2">
        <v>46092</v>
      </c>
      <c r="H371" t="s">
        <v>28</v>
      </c>
      <c r="I371" s="3">
        <v>2624151</v>
      </c>
      <c r="J371">
        <v>814</v>
      </c>
      <c r="K371" t="s">
        <v>20</v>
      </c>
      <c r="L371" t="s">
        <v>30</v>
      </c>
      <c r="M371">
        <v>40</v>
      </c>
      <c r="N371" s="3">
        <v>7693.29</v>
      </c>
      <c r="O371" t="s">
        <v>22</v>
      </c>
    </row>
    <row r="372" spans="1:15" x14ac:dyDescent="0.2">
      <c r="A372" t="s">
        <v>643</v>
      </c>
      <c r="B372" t="s">
        <v>111</v>
      </c>
      <c r="C372">
        <v>31</v>
      </c>
      <c r="D372" t="s">
        <v>75</v>
      </c>
      <c r="E372" t="s">
        <v>26</v>
      </c>
      <c r="F372" t="s">
        <v>27</v>
      </c>
      <c r="G372" s="2">
        <v>45743</v>
      </c>
      <c r="H372" t="s">
        <v>52</v>
      </c>
      <c r="I372" s="3">
        <v>427476</v>
      </c>
      <c r="J372">
        <v>686</v>
      </c>
      <c r="K372" t="s">
        <v>86</v>
      </c>
      <c r="L372" t="s">
        <v>38</v>
      </c>
      <c r="M372">
        <v>97</v>
      </c>
      <c r="N372" s="3">
        <v>1262.3599999999999</v>
      </c>
      <c r="O372" t="s">
        <v>39</v>
      </c>
    </row>
    <row r="373" spans="1:15" x14ac:dyDescent="0.2">
      <c r="A373" t="s">
        <v>644</v>
      </c>
      <c r="B373" t="s">
        <v>138</v>
      </c>
      <c r="C373">
        <v>65</v>
      </c>
      <c r="D373" t="s">
        <v>51</v>
      </c>
      <c r="E373" t="s">
        <v>26</v>
      </c>
      <c r="F373" t="s">
        <v>27</v>
      </c>
      <c r="G373" s="2">
        <v>45942</v>
      </c>
      <c r="H373" t="s">
        <v>28</v>
      </c>
      <c r="I373" s="3">
        <v>1449217</v>
      </c>
      <c r="J373">
        <v>770</v>
      </c>
      <c r="K373" t="s">
        <v>78</v>
      </c>
      <c r="L373" t="s">
        <v>58</v>
      </c>
      <c r="M373">
        <v>57</v>
      </c>
      <c r="N373" s="3">
        <v>28157.41</v>
      </c>
      <c r="O373" t="s">
        <v>39</v>
      </c>
    </row>
    <row r="374" spans="1:15" x14ac:dyDescent="0.2">
      <c r="A374" t="s">
        <v>645</v>
      </c>
      <c r="B374" t="s">
        <v>540</v>
      </c>
      <c r="C374">
        <v>24</v>
      </c>
      <c r="D374" t="s">
        <v>25</v>
      </c>
      <c r="E374" t="s">
        <v>17</v>
      </c>
      <c r="F374" t="s">
        <v>100</v>
      </c>
      <c r="G374" s="2">
        <v>45877</v>
      </c>
      <c r="H374" t="s">
        <v>28</v>
      </c>
      <c r="I374" s="3">
        <v>2925877</v>
      </c>
      <c r="J374">
        <v>597</v>
      </c>
      <c r="K374" t="s">
        <v>78</v>
      </c>
      <c r="L374" t="s">
        <v>58</v>
      </c>
      <c r="M374">
        <v>58</v>
      </c>
      <c r="N374" s="3">
        <v>7731.84</v>
      </c>
      <c r="O374" t="s">
        <v>22</v>
      </c>
    </row>
    <row r="375" spans="1:15" x14ac:dyDescent="0.2">
      <c r="A375" t="s">
        <v>646</v>
      </c>
      <c r="B375" t="s">
        <v>622</v>
      </c>
      <c r="C375">
        <v>46</v>
      </c>
      <c r="D375" t="s">
        <v>25</v>
      </c>
      <c r="E375" t="s">
        <v>26</v>
      </c>
      <c r="F375" t="s">
        <v>100</v>
      </c>
      <c r="G375" s="2">
        <v>45726</v>
      </c>
      <c r="H375" t="s">
        <v>28</v>
      </c>
      <c r="I375" s="3">
        <v>2503962</v>
      </c>
      <c r="J375">
        <v>805</v>
      </c>
      <c r="K375" t="s">
        <v>78</v>
      </c>
      <c r="L375" t="s">
        <v>58</v>
      </c>
      <c r="M375">
        <v>91</v>
      </c>
      <c r="N375" s="3">
        <v>13179.35</v>
      </c>
      <c r="O375" t="s">
        <v>22</v>
      </c>
    </row>
    <row r="376" spans="1:15" x14ac:dyDescent="0.2">
      <c r="A376" t="s">
        <v>647</v>
      </c>
      <c r="B376" t="s">
        <v>285</v>
      </c>
      <c r="C376">
        <v>47</v>
      </c>
      <c r="D376" t="s">
        <v>51</v>
      </c>
      <c r="E376" t="s">
        <v>56</v>
      </c>
      <c r="F376" t="s">
        <v>100</v>
      </c>
      <c r="G376" s="2">
        <v>45704</v>
      </c>
      <c r="H376" t="s">
        <v>33</v>
      </c>
      <c r="I376" s="3">
        <v>3199908</v>
      </c>
      <c r="J376">
        <v>746</v>
      </c>
      <c r="K376" t="s">
        <v>92</v>
      </c>
      <c r="L376" t="s">
        <v>58</v>
      </c>
      <c r="M376">
        <v>99</v>
      </c>
      <c r="N376" s="3">
        <v>18514.41</v>
      </c>
      <c r="O376" t="s">
        <v>22</v>
      </c>
    </row>
    <row r="377" spans="1:15" x14ac:dyDescent="0.2">
      <c r="A377" t="s">
        <v>648</v>
      </c>
      <c r="B377" t="s">
        <v>340</v>
      </c>
      <c r="C377">
        <v>66</v>
      </c>
      <c r="D377" t="s">
        <v>70</v>
      </c>
      <c r="E377" t="s">
        <v>56</v>
      </c>
      <c r="F377" t="s">
        <v>43</v>
      </c>
      <c r="G377" s="2">
        <v>45751</v>
      </c>
      <c r="H377" t="s">
        <v>28</v>
      </c>
      <c r="I377" s="3">
        <v>4263880</v>
      </c>
      <c r="J377">
        <v>650</v>
      </c>
      <c r="K377" t="s">
        <v>78</v>
      </c>
      <c r="L377" t="s">
        <v>58</v>
      </c>
      <c r="M377">
        <v>16</v>
      </c>
      <c r="N377" s="3">
        <v>5541.2</v>
      </c>
      <c r="O377" t="s">
        <v>22</v>
      </c>
    </row>
    <row r="378" spans="1:15" x14ac:dyDescent="0.2">
      <c r="A378" t="s">
        <v>649</v>
      </c>
      <c r="B378" t="s">
        <v>650</v>
      </c>
      <c r="C378">
        <v>63</v>
      </c>
      <c r="D378" t="s">
        <v>89</v>
      </c>
      <c r="E378" t="s">
        <v>17</v>
      </c>
      <c r="F378" t="s">
        <v>18</v>
      </c>
      <c r="G378" s="2">
        <v>46110</v>
      </c>
      <c r="H378" t="s">
        <v>28</v>
      </c>
      <c r="I378" s="3">
        <v>2181441</v>
      </c>
      <c r="J378">
        <v>633</v>
      </c>
      <c r="K378" t="s">
        <v>20</v>
      </c>
      <c r="L378" t="s">
        <v>38</v>
      </c>
      <c r="M378">
        <v>28</v>
      </c>
      <c r="N378" s="3">
        <v>15413.4</v>
      </c>
      <c r="O378" t="s">
        <v>22</v>
      </c>
    </row>
    <row r="379" spans="1:15" x14ac:dyDescent="0.2">
      <c r="A379" t="s">
        <v>651</v>
      </c>
      <c r="B379" t="s">
        <v>652</v>
      </c>
      <c r="C379">
        <v>47</v>
      </c>
      <c r="D379" t="s">
        <v>89</v>
      </c>
      <c r="E379" t="s">
        <v>26</v>
      </c>
      <c r="F379" t="s">
        <v>27</v>
      </c>
      <c r="G379" s="2">
        <v>45861</v>
      </c>
      <c r="H379" t="s">
        <v>28</v>
      </c>
      <c r="I379" s="3">
        <v>515033</v>
      </c>
      <c r="J379">
        <v>824</v>
      </c>
      <c r="K379" t="s">
        <v>34</v>
      </c>
      <c r="L379" t="s">
        <v>45</v>
      </c>
      <c r="M379">
        <v>98</v>
      </c>
      <c r="N379" s="3">
        <v>4084.76</v>
      </c>
      <c r="O379" t="s">
        <v>22</v>
      </c>
    </row>
    <row r="380" spans="1:15" x14ac:dyDescent="0.2">
      <c r="A380" t="s">
        <v>653</v>
      </c>
      <c r="B380" t="s">
        <v>654</v>
      </c>
      <c r="C380">
        <v>62</v>
      </c>
      <c r="D380" t="s">
        <v>70</v>
      </c>
      <c r="E380" t="s">
        <v>26</v>
      </c>
      <c r="F380" t="s">
        <v>27</v>
      </c>
      <c r="G380" s="2">
        <v>45875</v>
      </c>
      <c r="H380" t="s">
        <v>28</v>
      </c>
      <c r="I380" s="3">
        <v>3602477</v>
      </c>
      <c r="J380">
        <v>655</v>
      </c>
      <c r="K380" t="s">
        <v>57</v>
      </c>
      <c r="L380" t="s">
        <v>21</v>
      </c>
      <c r="M380">
        <v>111</v>
      </c>
      <c r="N380" s="3">
        <v>13452.5</v>
      </c>
      <c r="O380" t="s">
        <v>22</v>
      </c>
    </row>
    <row r="381" spans="1:15" x14ac:dyDescent="0.2">
      <c r="A381" t="s">
        <v>655</v>
      </c>
      <c r="B381" t="s">
        <v>185</v>
      </c>
      <c r="C381">
        <v>70</v>
      </c>
      <c r="D381" t="s">
        <v>25</v>
      </c>
      <c r="E381" t="s">
        <v>26</v>
      </c>
      <c r="F381" t="s">
        <v>27</v>
      </c>
      <c r="G381" s="2">
        <v>46131</v>
      </c>
      <c r="H381" t="s">
        <v>52</v>
      </c>
      <c r="I381" s="3">
        <v>4174845</v>
      </c>
      <c r="J381">
        <v>614</v>
      </c>
      <c r="K381" t="s">
        <v>86</v>
      </c>
      <c r="L381" t="s">
        <v>58</v>
      </c>
      <c r="M381">
        <v>1</v>
      </c>
      <c r="N381" s="3">
        <v>9142.49</v>
      </c>
      <c r="O381" t="s">
        <v>22</v>
      </c>
    </row>
    <row r="382" spans="1:15" x14ac:dyDescent="0.2">
      <c r="A382" t="s">
        <v>656</v>
      </c>
      <c r="B382" t="s">
        <v>104</v>
      </c>
      <c r="C382">
        <v>26</v>
      </c>
      <c r="D382" t="s">
        <v>55</v>
      </c>
      <c r="E382" t="s">
        <v>26</v>
      </c>
      <c r="F382" t="s">
        <v>43</v>
      </c>
      <c r="G382" s="2">
        <v>46089</v>
      </c>
      <c r="H382" t="s">
        <v>28</v>
      </c>
      <c r="I382" s="3">
        <v>1385730</v>
      </c>
      <c r="J382">
        <v>846</v>
      </c>
      <c r="K382" t="s">
        <v>34</v>
      </c>
      <c r="L382" t="s">
        <v>45</v>
      </c>
      <c r="M382">
        <v>41</v>
      </c>
      <c r="N382" s="3">
        <v>5746.69</v>
      </c>
      <c r="O382" t="s">
        <v>22</v>
      </c>
    </row>
    <row r="383" spans="1:15" x14ac:dyDescent="0.2">
      <c r="A383" t="s">
        <v>657</v>
      </c>
      <c r="B383" t="s">
        <v>658</v>
      </c>
      <c r="C383">
        <v>35</v>
      </c>
      <c r="D383" t="s">
        <v>70</v>
      </c>
      <c r="E383" t="s">
        <v>26</v>
      </c>
      <c r="F383" t="s">
        <v>27</v>
      </c>
      <c r="G383" s="2">
        <v>45998</v>
      </c>
      <c r="H383" t="s">
        <v>52</v>
      </c>
      <c r="I383" s="3">
        <v>1406649</v>
      </c>
      <c r="J383">
        <v>700</v>
      </c>
      <c r="K383" t="s">
        <v>57</v>
      </c>
      <c r="L383" t="s">
        <v>30</v>
      </c>
      <c r="M383">
        <v>48</v>
      </c>
      <c r="N383" s="3">
        <v>9408.25</v>
      </c>
      <c r="O383" t="s">
        <v>22</v>
      </c>
    </row>
    <row r="384" spans="1:15" x14ac:dyDescent="0.2">
      <c r="A384" t="s">
        <v>659</v>
      </c>
      <c r="B384" t="s">
        <v>660</v>
      </c>
      <c r="C384">
        <v>50</v>
      </c>
      <c r="D384" t="s">
        <v>42</v>
      </c>
      <c r="E384" t="s">
        <v>17</v>
      </c>
      <c r="F384" t="s">
        <v>27</v>
      </c>
      <c r="G384" s="2">
        <v>46208</v>
      </c>
      <c r="H384" t="s">
        <v>28</v>
      </c>
      <c r="I384" s="3">
        <v>3952085</v>
      </c>
      <c r="J384">
        <v>604</v>
      </c>
      <c r="K384" t="s">
        <v>34</v>
      </c>
      <c r="L384" t="s">
        <v>38</v>
      </c>
      <c r="M384">
        <v>31</v>
      </c>
      <c r="N384" s="3">
        <v>2957.34</v>
      </c>
      <c r="O384" t="s">
        <v>22</v>
      </c>
    </row>
    <row r="385" spans="1:15" x14ac:dyDescent="0.2">
      <c r="A385" t="s">
        <v>661</v>
      </c>
      <c r="B385" t="s">
        <v>455</v>
      </c>
      <c r="C385">
        <v>62</v>
      </c>
      <c r="D385" t="s">
        <v>25</v>
      </c>
      <c r="E385" t="s">
        <v>17</v>
      </c>
      <c r="F385" t="s">
        <v>43</v>
      </c>
      <c r="G385" s="2">
        <v>45946</v>
      </c>
      <c r="H385" t="s">
        <v>52</v>
      </c>
      <c r="I385" s="3">
        <v>1092329</v>
      </c>
      <c r="J385">
        <v>739</v>
      </c>
      <c r="K385" t="s">
        <v>92</v>
      </c>
      <c r="L385" t="s">
        <v>45</v>
      </c>
      <c r="M385">
        <v>36</v>
      </c>
      <c r="N385" s="3">
        <v>12388.1</v>
      </c>
      <c r="O385" t="s">
        <v>22</v>
      </c>
    </row>
    <row r="386" spans="1:15" x14ac:dyDescent="0.2">
      <c r="A386" t="s">
        <v>662</v>
      </c>
      <c r="B386" t="s">
        <v>132</v>
      </c>
      <c r="C386">
        <v>57</v>
      </c>
      <c r="D386" t="s">
        <v>55</v>
      </c>
      <c r="E386" t="s">
        <v>26</v>
      </c>
      <c r="F386" t="s">
        <v>18</v>
      </c>
      <c r="G386" s="2">
        <v>45911</v>
      </c>
      <c r="H386" t="s">
        <v>33</v>
      </c>
      <c r="I386" s="3">
        <v>1443582</v>
      </c>
      <c r="J386">
        <v>663</v>
      </c>
      <c r="K386" t="s">
        <v>57</v>
      </c>
      <c r="L386" t="s">
        <v>58</v>
      </c>
      <c r="M386">
        <v>108</v>
      </c>
      <c r="N386" s="3">
        <v>13814.35</v>
      </c>
      <c r="O386" t="s">
        <v>22</v>
      </c>
    </row>
    <row r="387" spans="1:15" x14ac:dyDescent="0.2">
      <c r="A387" t="s">
        <v>663</v>
      </c>
      <c r="B387" t="s">
        <v>664</v>
      </c>
      <c r="C387">
        <v>57</v>
      </c>
      <c r="D387" t="s">
        <v>37</v>
      </c>
      <c r="E387" t="s">
        <v>26</v>
      </c>
      <c r="F387" t="s">
        <v>27</v>
      </c>
      <c r="G387" s="2">
        <v>46014</v>
      </c>
      <c r="H387" t="s">
        <v>28</v>
      </c>
      <c r="I387" s="3">
        <v>1138976</v>
      </c>
      <c r="J387">
        <v>693</v>
      </c>
      <c r="K387" t="s">
        <v>67</v>
      </c>
      <c r="L387" t="s">
        <v>58</v>
      </c>
      <c r="M387">
        <v>33</v>
      </c>
      <c r="N387" s="3">
        <v>12873.45</v>
      </c>
      <c r="O387" t="s">
        <v>22</v>
      </c>
    </row>
    <row r="388" spans="1:15" x14ac:dyDescent="0.2">
      <c r="A388" t="s">
        <v>665</v>
      </c>
      <c r="B388" t="s">
        <v>666</v>
      </c>
      <c r="C388">
        <v>62</v>
      </c>
      <c r="D388" t="s">
        <v>105</v>
      </c>
      <c r="E388" t="s">
        <v>26</v>
      </c>
      <c r="F388" t="s">
        <v>27</v>
      </c>
      <c r="G388" s="2">
        <v>45680</v>
      </c>
      <c r="H388" t="s">
        <v>28</v>
      </c>
      <c r="I388" s="3">
        <v>1841570</v>
      </c>
      <c r="J388">
        <v>802</v>
      </c>
      <c r="K388" t="s">
        <v>29</v>
      </c>
      <c r="L388" t="s">
        <v>58</v>
      </c>
      <c r="M388">
        <v>33</v>
      </c>
      <c r="N388" s="3">
        <v>43359.42</v>
      </c>
      <c r="O388" t="s">
        <v>22</v>
      </c>
    </row>
    <row r="389" spans="1:15" x14ac:dyDescent="0.2">
      <c r="A389" t="s">
        <v>667</v>
      </c>
      <c r="B389" t="s">
        <v>668</v>
      </c>
      <c r="C389">
        <v>57</v>
      </c>
      <c r="D389" t="s">
        <v>55</v>
      </c>
      <c r="E389" t="s">
        <v>26</v>
      </c>
      <c r="F389" t="s">
        <v>27</v>
      </c>
      <c r="G389" s="2">
        <v>46179</v>
      </c>
      <c r="H389" t="s">
        <v>33</v>
      </c>
      <c r="I389" s="3">
        <v>424588</v>
      </c>
      <c r="J389">
        <v>745</v>
      </c>
      <c r="K389" t="s">
        <v>78</v>
      </c>
      <c r="L389" t="s">
        <v>45</v>
      </c>
      <c r="M389">
        <v>103</v>
      </c>
      <c r="N389" s="3">
        <v>8105.33</v>
      </c>
      <c r="O389" t="s">
        <v>22</v>
      </c>
    </row>
    <row r="390" spans="1:15" x14ac:dyDescent="0.2">
      <c r="A390" t="s">
        <v>669</v>
      </c>
      <c r="B390" t="s">
        <v>62</v>
      </c>
      <c r="C390">
        <v>55</v>
      </c>
      <c r="D390" t="s">
        <v>105</v>
      </c>
      <c r="E390" t="s">
        <v>56</v>
      </c>
      <c r="F390" t="s">
        <v>27</v>
      </c>
      <c r="G390" s="2">
        <v>45757</v>
      </c>
      <c r="H390" t="s">
        <v>44</v>
      </c>
      <c r="I390" s="3">
        <v>4023618</v>
      </c>
      <c r="J390">
        <v>770</v>
      </c>
      <c r="K390" t="s">
        <v>67</v>
      </c>
      <c r="L390" t="s">
        <v>58</v>
      </c>
      <c r="M390">
        <v>82</v>
      </c>
      <c r="N390" s="3">
        <v>8713</v>
      </c>
      <c r="O390" t="s">
        <v>22</v>
      </c>
    </row>
    <row r="391" spans="1:15" x14ac:dyDescent="0.2">
      <c r="A391" t="s">
        <v>670</v>
      </c>
      <c r="B391" t="s">
        <v>104</v>
      </c>
      <c r="C391">
        <v>43</v>
      </c>
      <c r="D391" t="s">
        <v>16</v>
      </c>
      <c r="E391" t="s">
        <v>26</v>
      </c>
      <c r="F391" t="s">
        <v>27</v>
      </c>
      <c r="G391" s="2">
        <v>45837</v>
      </c>
      <c r="H391" t="s">
        <v>28</v>
      </c>
      <c r="I391" s="3">
        <v>3835854</v>
      </c>
      <c r="J391">
        <v>754</v>
      </c>
      <c r="K391" t="s">
        <v>92</v>
      </c>
      <c r="L391" t="s">
        <v>45</v>
      </c>
      <c r="M391">
        <v>23</v>
      </c>
      <c r="N391" s="3">
        <v>2620.75</v>
      </c>
      <c r="O391" t="s">
        <v>39</v>
      </c>
    </row>
    <row r="392" spans="1:15" x14ac:dyDescent="0.2">
      <c r="A392" t="s">
        <v>671</v>
      </c>
      <c r="B392" t="s">
        <v>672</v>
      </c>
      <c r="C392">
        <v>26</v>
      </c>
      <c r="D392" t="s">
        <v>48</v>
      </c>
      <c r="E392" t="s">
        <v>26</v>
      </c>
      <c r="F392" t="s">
        <v>43</v>
      </c>
      <c r="G392" s="2">
        <v>45880</v>
      </c>
      <c r="H392" t="s">
        <v>28</v>
      </c>
      <c r="I392" s="3">
        <v>1780332</v>
      </c>
      <c r="J392">
        <v>580</v>
      </c>
      <c r="K392" t="s">
        <v>34</v>
      </c>
      <c r="L392" t="s">
        <v>58</v>
      </c>
      <c r="M392">
        <v>60</v>
      </c>
      <c r="N392" s="3">
        <v>46681.02</v>
      </c>
      <c r="O392" t="s">
        <v>335</v>
      </c>
    </row>
    <row r="393" spans="1:15" x14ac:dyDescent="0.2">
      <c r="A393" t="s">
        <v>673</v>
      </c>
      <c r="B393" t="s">
        <v>115</v>
      </c>
      <c r="C393">
        <v>24</v>
      </c>
      <c r="D393" t="s">
        <v>16</v>
      </c>
      <c r="E393" t="s">
        <v>26</v>
      </c>
      <c r="F393" t="s">
        <v>43</v>
      </c>
      <c r="G393" s="2">
        <v>46099</v>
      </c>
      <c r="H393" t="s">
        <v>44</v>
      </c>
      <c r="I393" s="3">
        <v>1283290</v>
      </c>
      <c r="J393">
        <v>808</v>
      </c>
      <c r="K393" t="s">
        <v>20</v>
      </c>
      <c r="L393" t="s">
        <v>30</v>
      </c>
      <c r="M393">
        <v>87</v>
      </c>
      <c r="N393" s="3">
        <v>1857.43</v>
      </c>
      <c r="O393" t="s">
        <v>22</v>
      </c>
    </row>
    <row r="394" spans="1:15" x14ac:dyDescent="0.2">
      <c r="A394" t="s">
        <v>674</v>
      </c>
      <c r="B394" t="s">
        <v>675</v>
      </c>
      <c r="C394">
        <v>38</v>
      </c>
      <c r="D394" t="s">
        <v>25</v>
      </c>
      <c r="E394" t="s">
        <v>56</v>
      </c>
      <c r="F394" t="s">
        <v>18</v>
      </c>
      <c r="G394" s="2">
        <v>46265</v>
      </c>
      <c r="H394" t="s">
        <v>33</v>
      </c>
      <c r="I394" s="3">
        <v>3696549</v>
      </c>
      <c r="J394">
        <v>665</v>
      </c>
      <c r="K394" t="s">
        <v>78</v>
      </c>
      <c r="L394" t="s">
        <v>30</v>
      </c>
      <c r="M394">
        <v>79</v>
      </c>
      <c r="N394" s="3">
        <v>11384.31</v>
      </c>
      <c r="O394" t="s">
        <v>22</v>
      </c>
    </row>
    <row r="395" spans="1:15" x14ac:dyDescent="0.2">
      <c r="A395" t="s">
        <v>676</v>
      </c>
      <c r="B395" t="s">
        <v>544</v>
      </c>
      <c r="C395">
        <v>29</v>
      </c>
      <c r="D395" t="s">
        <v>105</v>
      </c>
      <c r="E395" t="s">
        <v>17</v>
      </c>
      <c r="F395" t="s">
        <v>27</v>
      </c>
      <c r="G395" s="2">
        <v>45982</v>
      </c>
      <c r="H395" t="s">
        <v>28</v>
      </c>
      <c r="I395" s="3">
        <v>3408546</v>
      </c>
      <c r="J395">
        <v>641</v>
      </c>
      <c r="K395" t="s">
        <v>67</v>
      </c>
      <c r="L395" t="s">
        <v>21</v>
      </c>
      <c r="M395">
        <v>90</v>
      </c>
      <c r="N395" s="3">
        <v>4696.0600000000004</v>
      </c>
      <c r="O395" t="s">
        <v>22</v>
      </c>
    </row>
    <row r="396" spans="1:15" x14ac:dyDescent="0.2">
      <c r="A396" t="s">
        <v>677</v>
      </c>
      <c r="B396" t="s">
        <v>98</v>
      </c>
      <c r="C396">
        <v>69</v>
      </c>
      <c r="D396" t="s">
        <v>25</v>
      </c>
      <c r="E396" t="s">
        <v>26</v>
      </c>
      <c r="F396" t="s">
        <v>18</v>
      </c>
      <c r="G396" s="2">
        <v>46173</v>
      </c>
      <c r="H396" t="s">
        <v>28</v>
      </c>
      <c r="I396" s="3">
        <v>731438</v>
      </c>
      <c r="J396">
        <v>785</v>
      </c>
      <c r="K396" t="s">
        <v>78</v>
      </c>
      <c r="L396" t="s">
        <v>58</v>
      </c>
      <c r="M396">
        <v>30</v>
      </c>
      <c r="N396" s="3">
        <v>9560.86</v>
      </c>
      <c r="O396" t="s">
        <v>22</v>
      </c>
    </row>
    <row r="397" spans="1:15" x14ac:dyDescent="0.2">
      <c r="A397" t="s">
        <v>678</v>
      </c>
      <c r="B397" t="s">
        <v>183</v>
      </c>
      <c r="C397">
        <v>49</v>
      </c>
      <c r="D397" t="s">
        <v>70</v>
      </c>
      <c r="E397" t="s">
        <v>26</v>
      </c>
      <c r="F397" t="s">
        <v>27</v>
      </c>
      <c r="G397" s="2">
        <v>45673</v>
      </c>
      <c r="H397" t="s">
        <v>28</v>
      </c>
      <c r="I397" s="3">
        <v>2955430</v>
      </c>
      <c r="J397">
        <v>684</v>
      </c>
      <c r="K397" t="s">
        <v>57</v>
      </c>
      <c r="L397" t="s">
        <v>58</v>
      </c>
      <c r="M397">
        <v>89</v>
      </c>
      <c r="N397" s="3">
        <v>2267.7399999999998</v>
      </c>
      <c r="O397" t="s">
        <v>22</v>
      </c>
    </row>
    <row r="398" spans="1:15" x14ac:dyDescent="0.2">
      <c r="A398" t="s">
        <v>679</v>
      </c>
      <c r="B398" t="s">
        <v>64</v>
      </c>
      <c r="C398">
        <v>33</v>
      </c>
      <c r="D398" t="s">
        <v>51</v>
      </c>
      <c r="E398" t="s">
        <v>56</v>
      </c>
      <c r="F398" t="s">
        <v>27</v>
      </c>
      <c r="G398" s="2">
        <v>45993</v>
      </c>
      <c r="H398" t="s">
        <v>33</v>
      </c>
      <c r="I398" s="3">
        <v>1508542</v>
      </c>
      <c r="J398">
        <v>829</v>
      </c>
      <c r="K398" t="s">
        <v>29</v>
      </c>
      <c r="L398" t="s">
        <v>45</v>
      </c>
      <c r="M398">
        <v>45</v>
      </c>
      <c r="N398" s="3">
        <v>22839.5</v>
      </c>
      <c r="O398" t="s">
        <v>22</v>
      </c>
    </row>
    <row r="399" spans="1:15" x14ac:dyDescent="0.2">
      <c r="A399" t="s">
        <v>680</v>
      </c>
      <c r="B399" t="s">
        <v>681</v>
      </c>
      <c r="C399">
        <v>67</v>
      </c>
      <c r="D399" t="s">
        <v>42</v>
      </c>
      <c r="E399" t="s">
        <v>83</v>
      </c>
      <c r="F399" t="s">
        <v>18</v>
      </c>
      <c r="G399" s="2">
        <v>45915</v>
      </c>
      <c r="H399" t="s">
        <v>28</v>
      </c>
      <c r="I399" s="3">
        <v>1370780</v>
      </c>
      <c r="J399">
        <v>592</v>
      </c>
      <c r="K399" t="s">
        <v>78</v>
      </c>
      <c r="L399" t="s">
        <v>45</v>
      </c>
      <c r="M399">
        <v>80</v>
      </c>
      <c r="N399" s="3">
        <v>3284.8</v>
      </c>
      <c r="O399" t="s">
        <v>22</v>
      </c>
    </row>
    <row r="400" spans="1:15" x14ac:dyDescent="0.2">
      <c r="A400" t="s">
        <v>682</v>
      </c>
      <c r="B400" t="s">
        <v>652</v>
      </c>
      <c r="C400">
        <v>37</v>
      </c>
      <c r="D400" t="s">
        <v>128</v>
      </c>
      <c r="E400" t="s">
        <v>26</v>
      </c>
      <c r="F400" t="s">
        <v>27</v>
      </c>
      <c r="G400" s="2">
        <v>46154</v>
      </c>
      <c r="H400" t="s">
        <v>19</v>
      </c>
      <c r="I400" s="3">
        <v>2392936</v>
      </c>
      <c r="J400">
        <v>742</v>
      </c>
      <c r="K400" t="s">
        <v>34</v>
      </c>
      <c r="M400">
        <v>39</v>
      </c>
      <c r="N400" s="3">
        <v>30472.07</v>
      </c>
      <c r="O400" t="s">
        <v>22</v>
      </c>
    </row>
    <row r="401" spans="1:15" x14ac:dyDescent="0.2">
      <c r="A401" t="s">
        <v>683</v>
      </c>
      <c r="B401" t="s">
        <v>348</v>
      </c>
      <c r="C401">
        <v>65</v>
      </c>
      <c r="D401" t="s">
        <v>25</v>
      </c>
      <c r="E401" t="s">
        <v>56</v>
      </c>
      <c r="F401" t="s">
        <v>27</v>
      </c>
      <c r="G401" s="2">
        <v>45817</v>
      </c>
      <c r="H401" t="s">
        <v>28</v>
      </c>
      <c r="I401" s="3">
        <v>4322091</v>
      </c>
      <c r="J401">
        <v>622</v>
      </c>
      <c r="K401" t="s">
        <v>34</v>
      </c>
      <c r="L401" t="s">
        <v>21</v>
      </c>
      <c r="M401">
        <v>112</v>
      </c>
      <c r="N401" s="3">
        <v>3381.28</v>
      </c>
      <c r="O401" t="s">
        <v>22</v>
      </c>
    </row>
    <row r="402" spans="1:15" x14ac:dyDescent="0.2">
      <c r="A402" t="s">
        <v>684</v>
      </c>
      <c r="B402" t="s">
        <v>96</v>
      </c>
      <c r="C402">
        <v>52</v>
      </c>
      <c r="D402" t="s">
        <v>42</v>
      </c>
      <c r="E402" t="s">
        <v>83</v>
      </c>
      <c r="F402" t="s">
        <v>100</v>
      </c>
      <c r="G402" s="2">
        <v>46132</v>
      </c>
      <c r="H402" t="s">
        <v>28</v>
      </c>
      <c r="I402" s="3">
        <v>1554140</v>
      </c>
      <c r="J402">
        <v>690</v>
      </c>
      <c r="K402" t="s">
        <v>86</v>
      </c>
      <c r="L402" t="s">
        <v>58</v>
      </c>
      <c r="M402">
        <v>45</v>
      </c>
      <c r="N402" s="3">
        <v>24933.64</v>
      </c>
      <c r="O402" t="s">
        <v>22</v>
      </c>
    </row>
    <row r="403" spans="1:15" x14ac:dyDescent="0.2">
      <c r="A403" t="s">
        <v>685</v>
      </c>
      <c r="B403" t="s">
        <v>390</v>
      </c>
      <c r="C403">
        <v>68</v>
      </c>
      <c r="D403" t="s">
        <v>70</v>
      </c>
      <c r="E403" t="s">
        <v>56</v>
      </c>
      <c r="F403" t="s">
        <v>27</v>
      </c>
      <c r="G403" s="2">
        <v>46037</v>
      </c>
      <c r="H403" t="s">
        <v>33</v>
      </c>
      <c r="I403" s="3">
        <v>4043868</v>
      </c>
      <c r="J403">
        <v>784</v>
      </c>
      <c r="K403" t="s">
        <v>86</v>
      </c>
      <c r="L403" t="s">
        <v>45</v>
      </c>
      <c r="M403">
        <v>78</v>
      </c>
      <c r="N403" s="3">
        <v>3742.42</v>
      </c>
      <c r="O403" t="s">
        <v>22</v>
      </c>
    </row>
    <row r="404" spans="1:15" x14ac:dyDescent="0.2">
      <c r="A404" t="s">
        <v>686</v>
      </c>
      <c r="B404" t="s">
        <v>578</v>
      </c>
      <c r="C404">
        <v>42</v>
      </c>
      <c r="D404" t="s">
        <v>55</v>
      </c>
      <c r="E404" t="s">
        <v>17</v>
      </c>
      <c r="F404" t="s">
        <v>18</v>
      </c>
      <c r="G404" s="2">
        <v>46202</v>
      </c>
      <c r="H404" t="s">
        <v>44</v>
      </c>
      <c r="I404" s="3">
        <v>2038702</v>
      </c>
      <c r="J404">
        <v>835</v>
      </c>
      <c r="K404" t="s">
        <v>78</v>
      </c>
      <c r="L404" t="s">
        <v>58</v>
      </c>
      <c r="M404">
        <v>81</v>
      </c>
      <c r="N404" s="3">
        <v>4696.91</v>
      </c>
      <c r="O404" t="s">
        <v>22</v>
      </c>
    </row>
    <row r="405" spans="1:15" x14ac:dyDescent="0.2">
      <c r="A405" t="s">
        <v>687</v>
      </c>
      <c r="B405" t="s">
        <v>630</v>
      </c>
      <c r="C405">
        <v>24</v>
      </c>
      <c r="D405" t="s">
        <v>70</v>
      </c>
      <c r="E405" t="s">
        <v>17</v>
      </c>
      <c r="F405" t="s">
        <v>27</v>
      </c>
      <c r="G405" s="2">
        <v>46084</v>
      </c>
      <c r="H405" t="s">
        <v>52</v>
      </c>
      <c r="I405" s="3">
        <v>3946724</v>
      </c>
      <c r="J405">
        <v>723</v>
      </c>
      <c r="K405" t="s">
        <v>57</v>
      </c>
      <c r="L405" t="s">
        <v>45</v>
      </c>
      <c r="M405">
        <v>12</v>
      </c>
      <c r="N405" s="3">
        <v>8937.9500000000007</v>
      </c>
      <c r="O405" t="s">
        <v>22</v>
      </c>
    </row>
    <row r="406" spans="1:15" x14ac:dyDescent="0.2">
      <c r="A406" t="s">
        <v>688</v>
      </c>
      <c r="B406" t="s">
        <v>431</v>
      </c>
      <c r="C406">
        <v>25</v>
      </c>
      <c r="D406" t="s">
        <v>37</v>
      </c>
      <c r="E406" t="s">
        <v>26</v>
      </c>
      <c r="F406" t="s">
        <v>18</v>
      </c>
      <c r="G406" s="2">
        <v>45925</v>
      </c>
      <c r="H406" t="s">
        <v>28</v>
      </c>
      <c r="I406" s="3">
        <v>1841711</v>
      </c>
      <c r="J406">
        <v>725</v>
      </c>
      <c r="K406" t="s">
        <v>57</v>
      </c>
      <c r="L406" t="s">
        <v>58</v>
      </c>
      <c r="M406">
        <v>93</v>
      </c>
      <c r="N406" s="3">
        <v>3676.35</v>
      </c>
      <c r="O406" t="s">
        <v>22</v>
      </c>
    </row>
    <row r="407" spans="1:15" x14ac:dyDescent="0.2">
      <c r="A407" t="s">
        <v>689</v>
      </c>
      <c r="B407" t="s">
        <v>47</v>
      </c>
      <c r="C407">
        <v>57</v>
      </c>
      <c r="D407" t="s">
        <v>16</v>
      </c>
      <c r="E407" t="s">
        <v>56</v>
      </c>
      <c r="F407" t="s">
        <v>27</v>
      </c>
      <c r="G407" s="2">
        <v>46234</v>
      </c>
      <c r="H407" t="s">
        <v>52</v>
      </c>
      <c r="I407" s="3">
        <v>1878853</v>
      </c>
      <c r="J407">
        <v>743</v>
      </c>
      <c r="K407" t="s">
        <v>20</v>
      </c>
      <c r="L407" t="s">
        <v>38</v>
      </c>
      <c r="M407">
        <v>32</v>
      </c>
      <c r="N407" s="3">
        <v>3564.42</v>
      </c>
      <c r="O407" t="s">
        <v>22</v>
      </c>
    </row>
    <row r="408" spans="1:15" x14ac:dyDescent="0.2">
      <c r="A408" t="s">
        <v>690</v>
      </c>
      <c r="B408" t="s">
        <v>527</v>
      </c>
      <c r="C408">
        <v>61</v>
      </c>
      <c r="D408" t="s">
        <v>55</v>
      </c>
      <c r="E408" t="s">
        <v>17</v>
      </c>
      <c r="F408" t="s">
        <v>27</v>
      </c>
      <c r="G408" s="2">
        <v>46074</v>
      </c>
      <c r="H408" t="s">
        <v>33</v>
      </c>
      <c r="I408" s="3">
        <v>2308721</v>
      </c>
      <c r="J408">
        <v>748</v>
      </c>
      <c r="K408" t="s">
        <v>92</v>
      </c>
      <c r="L408" t="s">
        <v>45</v>
      </c>
      <c r="M408">
        <v>56</v>
      </c>
      <c r="N408" s="3">
        <v>3721.35</v>
      </c>
      <c r="O408" t="s">
        <v>22</v>
      </c>
    </row>
    <row r="409" spans="1:15" x14ac:dyDescent="0.2">
      <c r="A409" t="s">
        <v>691</v>
      </c>
      <c r="B409" t="s">
        <v>692</v>
      </c>
      <c r="C409">
        <v>69</v>
      </c>
      <c r="D409" t="s">
        <v>128</v>
      </c>
      <c r="E409" t="s">
        <v>17</v>
      </c>
      <c r="F409" t="s">
        <v>43</v>
      </c>
      <c r="G409" s="2">
        <v>45825</v>
      </c>
      <c r="H409" t="s">
        <v>28</v>
      </c>
      <c r="I409" s="3">
        <v>2210391</v>
      </c>
      <c r="J409">
        <v>812</v>
      </c>
      <c r="K409" t="s">
        <v>92</v>
      </c>
      <c r="L409" t="s">
        <v>21</v>
      </c>
      <c r="M409">
        <v>24</v>
      </c>
      <c r="N409" s="3">
        <v>12516.44</v>
      </c>
      <c r="O409" t="s">
        <v>22</v>
      </c>
    </row>
    <row r="410" spans="1:15" x14ac:dyDescent="0.2">
      <c r="A410" t="s">
        <v>693</v>
      </c>
      <c r="B410" t="s">
        <v>115</v>
      </c>
      <c r="C410">
        <v>33</v>
      </c>
      <c r="D410" t="s">
        <v>105</v>
      </c>
      <c r="E410" t="s">
        <v>26</v>
      </c>
      <c r="F410" t="s">
        <v>27</v>
      </c>
      <c r="G410" s="2">
        <v>45700</v>
      </c>
      <c r="H410" t="s">
        <v>28</v>
      </c>
      <c r="I410" s="3">
        <v>4326773</v>
      </c>
      <c r="J410">
        <v>850</v>
      </c>
      <c r="K410" t="s">
        <v>67</v>
      </c>
      <c r="L410" t="s">
        <v>38</v>
      </c>
      <c r="M410">
        <v>116</v>
      </c>
      <c r="N410" s="3">
        <v>8951.07</v>
      </c>
      <c r="O410" t="s">
        <v>22</v>
      </c>
    </row>
    <row r="411" spans="1:15" x14ac:dyDescent="0.2">
      <c r="A411" t="s">
        <v>694</v>
      </c>
      <c r="B411" t="s">
        <v>544</v>
      </c>
      <c r="C411">
        <v>54</v>
      </c>
      <c r="D411" t="s">
        <v>51</v>
      </c>
      <c r="E411" t="s">
        <v>56</v>
      </c>
      <c r="F411" t="s">
        <v>27</v>
      </c>
      <c r="G411" s="2">
        <v>46213</v>
      </c>
      <c r="H411" t="s">
        <v>28</v>
      </c>
      <c r="I411" s="3">
        <v>2370100</v>
      </c>
      <c r="J411">
        <v>639</v>
      </c>
      <c r="K411" t="s">
        <v>92</v>
      </c>
      <c r="L411" t="s">
        <v>58</v>
      </c>
      <c r="M411">
        <v>13</v>
      </c>
      <c r="N411" s="3">
        <v>9464.1200000000008</v>
      </c>
      <c r="O411" t="s">
        <v>22</v>
      </c>
    </row>
    <row r="412" spans="1:15" x14ac:dyDescent="0.2">
      <c r="A412" t="s">
        <v>695</v>
      </c>
      <c r="B412" t="s">
        <v>421</v>
      </c>
      <c r="C412">
        <v>65</v>
      </c>
      <c r="D412" t="s">
        <v>42</v>
      </c>
      <c r="E412" t="s">
        <v>56</v>
      </c>
      <c r="F412" t="s">
        <v>27</v>
      </c>
      <c r="G412" s="2">
        <v>45942</v>
      </c>
      <c r="H412" t="s">
        <v>28</v>
      </c>
      <c r="I412" s="3">
        <v>309072</v>
      </c>
      <c r="J412">
        <v>814</v>
      </c>
      <c r="K412" t="s">
        <v>29</v>
      </c>
      <c r="L412" t="s">
        <v>45</v>
      </c>
      <c r="M412">
        <v>120</v>
      </c>
      <c r="N412" s="3">
        <v>6368.6</v>
      </c>
      <c r="O412" t="s">
        <v>22</v>
      </c>
    </row>
    <row r="413" spans="1:15" x14ac:dyDescent="0.2">
      <c r="A413" t="s">
        <v>696</v>
      </c>
      <c r="B413" t="s">
        <v>664</v>
      </c>
      <c r="C413">
        <v>42</v>
      </c>
      <c r="D413" t="s">
        <v>51</v>
      </c>
      <c r="E413" t="s">
        <v>26</v>
      </c>
      <c r="F413" t="s">
        <v>27</v>
      </c>
      <c r="G413" s="2">
        <v>46054</v>
      </c>
      <c r="H413" t="s">
        <v>44</v>
      </c>
      <c r="I413" s="3">
        <v>3725432</v>
      </c>
      <c r="J413">
        <v>744</v>
      </c>
      <c r="K413" t="s">
        <v>57</v>
      </c>
      <c r="L413" t="s">
        <v>38</v>
      </c>
      <c r="M413">
        <v>20</v>
      </c>
      <c r="N413" s="3">
        <v>15932.8</v>
      </c>
      <c r="O413" t="s">
        <v>22</v>
      </c>
    </row>
    <row r="414" spans="1:15" x14ac:dyDescent="0.2">
      <c r="A414" t="s">
        <v>697</v>
      </c>
      <c r="B414" t="s">
        <v>523</v>
      </c>
      <c r="C414">
        <v>43</v>
      </c>
      <c r="D414" t="s">
        <v>48</v>
      </c>
      <c r="E414" t="s">
        <v>56</v>
      </c>
      <c r="F414" t="s">
        <v>27</v>
      </c>
      <c r="G414" s="2">
        <v>45669</v>
      </c>
      <c r="H414" t="s">
        <v>28</v>
      </c>
      <c r="I414" s="3">
        <v>4133337</v>
      </c>
      <c r="J414">
        <v>773</v>
      </c>
      <c r="K414" t="s">
        <v>20</v>
      </c>
      <c r="L414" t="s">
        <v>21</v>
      </c>
      <c r="M414">
        <v>79</v>
      </c>
      <c r="N414" s="3">
        <v>26972.17</v>
      </c>
      <c r="O414" t="s">
        <v>22</v>
      </c>
    </row>
    <row r="415" spans="1:15" x14ac:dyDescent="0.2">
      <c r="A415" t="s">
        <v>698</v>
      </c>
      <c r="B415" t="s">
        <v>321</v>
      </c>
      <c r="C415">
        <v>23</v>
      </c>
      <c r="D415" t="s">
        <v>70</v>
      </c>
      <c r="E415" t="s">
        <v>17</v>
      </c>
      <c r="F415" t="s">
        <v>27</v>
      </c>
      <c r="G415" s="2">
        <v>46264</v>
      </c>
      <c r="H415" t="s">
        <v>19</v>
      </c>
      <c r="I415" s="3">
        <v>2413843</v>
      </c>
      <c r="J415">
        <v>813</v>
      </c>
      <c r="K415" t="s">
        <v>86</v>
      </c>
      <c r="L415" t="s">
        <v>45</v>
      </c>
      <c r="M415">
        <v>56</v>
      </c>
      <c r="N415" s="3">
        <v>16389.53</v>
      </c>
      <c r="O415" t="s">
        <v>22</v>
      </c>
    </row>
    <row r="416" spans="1:15" x14ac:dyDescent="0.2">
      <c r="A416" t="s">
        <v>699</v>
      </c>
      <c r="B416" t="s">
        <v>96</v>
      </c>
      <c r="C416">
        <v>62</v>
      </c>
      <c r="D416" t="s">
        <v>25</v>
      </c>
      <c r="E416" t="s">
        <v>56</v>
      </c>
      <c r="F416" t="s">
        <v>100</v>
      </c>
      <c r="G416" s="2">
        <v>45959</v>
      </c>
      <c r="H416" t="s">
        <v>33</v>
      </c>
      <c r="I416" s="3">
        <v>3012594</v>
      </c>
      <c r="J416">
        <v>762</v>
      </c>
      <c r="K416" t="s">
        <v>34</v>
      </c>
      <c r="L416" t="s">
        <v>38</v>
      </c>
      <c r="M416">
        <v>53</v>
      </c>
      <c r="N416" s="3">
        <v>7190.96</v>
      </c>
      <c r="O416" t="s">
        <v>22</v>
      </c>
    </row>
    <row r="417" spans="1:15" x14ac:dyDescent="0.2">
      <c r="A417" t="s">
        <v>700</v>
      </c>
      <c r="B417" t="s">
        <v>15</v>
      </c>
      <c r="C417">
        <v>54</v>
      </c>
      <c r="D417" t="s">
        <v>105</v>
      </c>
      <c r="E417" t="s">
        <v>26</v>
      </c>
      <c r="F417" t="s">
        <v>27</v>
      </c>
      <c r="G417" s="2">
        <v>45910</v>
      </c>
      <c r="H417" t="s">
        <v>33</v>
      </c>
      <c r="I417" s="3">
        <v>4284941</v>
      </c>
      <c r="J417">
        <v>811</v>
      </c>
      <c r="K417" t="s">
        <v>92</v>
      </c>
      <c r="L417" t="s">
        <v>38</v>
      </c>
      <c r="M417">
        <v>68</v>
      </c>
      <c r="N417" s="3">
        <v>2485.37</v>
      </c>
      <c r="O417" t="s">
        <v>22</v>
      </c>
    </row>
    <row r="418" spans="1:15" x14ac:dyDescent="0.2">
      <c r="A418" t="s">
        <v>701</v>
      </c>
      <c r="B418" t="s">
        <v>183</v>
      </c>
      <c r="C418">
        <v>52</v>
      </c>
      <c r="D418" t="s">
        <v>48</v>
      </c>
      <c r="E418" t="s">
        <v>26</v>
      </c>
      <c r="F418" t="s">
        <v>43</v>
      </c>
      <c r="G418" s="2">
        <v>46156</v>
      </c>
      <c r="H418" t="s">
        <v>33</v>
      </c>
      <c r="I418" s="3">
        <v>4451390</v>
      </c>
      <c r="J418">
        <v>686</v>
      </c>
      <c r="K418" t="s">
        <v>86</v>
      </c>
      <c r="L418" t="s">
        <v>38</v>
      </c>
      <c r="M418">
        <v>54</v>
      </c>
      <c r="N418" s="3">
        <v>1123.3399999999999</v>
      </c>
      <c r="O418" t="s">
        <v>22</v>
      </c>
    </row>
    <row r="419" spans="1:15" x14ac:dyDescent="0.2">
      <c r="A419" t="s">
        <v>702</v>
      </c>
      <c r="B419" t="s">
        <v>104</v>
      </c>
      <c r="C419">
        <v>65</v>
      </c>
      <c r="D419" t="s">
        <v>70</v>
      </c>
      <c r="E419" t="s">
        <v>56</v>
      </c>
      <c r="F419" t="s">
        <v>27</v>
      </c>
      <c r="G419" s="2">
        <v>45692</v>
      </c>
      <c r="H419" t="s">
        <v>28</v>
      </c>
      <c r="I419" s="3">
        <v>639962</v>
      </c>
      <c r="J419">
        <v>802</v>
      </c>
      <c r="K419" t="s">
        <v>86</v>
      </c>
      <c r="L419" t="s">
        <v>30</v>
      </c>
      <c r="M419">
        <v>34</v>
      </c>
      <c r="N419" s="3">
        <v>8365.67</v>
      </c>
      <c r="O419" t="s">
        <v>22</v>
      </c>
    </row>
    <row r="420" spans="1:15" x14ac:dyDescent="0.2">
      <c r="A420" t="s">
        <v>703</v>
      </c>
      <c r="B420" t="s">
        <v>307</v>
      </c>
      <c r="C420">
        <v>69</v>
      </c>
      <c r="D420" t="s">
        <v>75</v>
      </c>
      <c r="E420" t="s">
        <v>26</v>
      </c>
      <c r="F420" t="s">
        <v>27</v>
      </c>
      <c r="G420" s="2">
        <v>45747</v>
      </c>
      <c r="H420" t="s">
        <v>28</v>
      </c>
      <c r="I420" s="3">
        <v>3727899</v>
      </c>
      <c r="J420">
        <v>659</v>
      </c>
      <c r="K420" t="s">
        <v>78</v>
      </c>
      <c r="L420" t="s">
        <v>58</v>
      </c>
      <c r="M420">
        <v>28</v>
      </c>
      <c r="N420" s="3">
        <v>1104.5</v>
      </c>
      <c r="O420" t="s">
        <v>22</v>
      </c>
    </row>
    <row r="421" spans="1:15" x14ac:dyDescent="0.2">
      <c r="A421" t="s">
        <v>704</v>
      </c>
      <c r="B421" t="s">
        <v>309</v>
      </c>
      <c r="C421">
        <v>41</v>
      </c>
      <c r="D421" t="s">
        <v>25</v>
      </c>
      <c r="E421" t="s">
        <v>56</v>
      </c>
      <c r="F421" t="s">
        <v>100</v>
      </c>
      <c r="G421" s="2">
        <v>46262</v>
      </c>
      <c r="H421" t="s">
        <v>28</v>
      </c>
      <c r="I421" s="3">
        <v>3673788</v>
      </c>
      <c r="J421">
        <v>813</v>
      </c>
      <c r="K421" t="s">
        <v>29</v>
      </c>
      <c r="L421" t="s">
        <v>45</v>
      </c>
      <c r="M421">
        <v>50</v>
      </c>
      <c r="N421" s="3">
        <v>7264.32</v>
      </c>
      <c r="O421" t="s">
        <v>22</v>
      </c>
    </row>
    <row r="422" spans="1:15" x14ac:dyDescent="0.2">
      <c r="A422" t="s">
        <v>705</v>
      </c>
      <c r="B422" t="s">
        <v>706</v>
      </c>
      <c r="C422">
        <v>66</v>
      </c>
      <c r="D422" t="s">
        <v>55</v>
      </c>
      <c r="E422" t="s">
        <v>26</v>
      </c>
      <c r="F422" t="s">
        <v>27</v>
      </c>
      <c r="G422" s="2">
        <v>46259</v>
      </c>
      <c r="H422" t="s">
        <v>33</v>
      </c>
      <c r="I422" s="3">
        <v>1051680</v>
      </c>
      <c r="J422">
        <v>763</v>
      </c>
      <c r="K422" t="s">
        <v>20</v>
      </c>
      <c r="L422" t="s">
        <v>45</v>
      </c>
      <c r="M422">
        <v>2</v>
      </c>
      <c r="N422" s="3">
        <v>39056.1</v>
      </c>
      <c r="O422" t="s">
        <v>22</v>
      </c>
    </row>
    <row r="423" spans="1:15" x14ac:dyDescent="0.2">
      <c r="A423" t="s">
        <v>707</v>
      </c>
      <c r="B423" t="s">
        <v>144</v>
      </c>
      <c r="C423">
        <v>64</v>
      </c>
      <c r="D423" t="s">
        <v>16</v>
      </c>
      <c r="E423" t="s">
        <v>26</v>
      </c>
      <c r="F423" t="s">
        <v>100</v>
      </c>
      <c r="G423" s="2">
        <v>46075</v>
      </c>
      <c r="H423" t="s">
        <v>28</v>
      </c>
      <c r="I423" s="3">
        <v>4381279</v>
      </c>
      <c r="J423">
        <v>764</v>
      </c>
      <c r="K423" t="s">
        <v>29</v>
      </c>
      <c r="L423" t="s">
        <v>45</v>
      </c>
      <c r="M423">
        <v>111</v>
      </c>
      <c r="N423" s="3">
        <v>2667.39</v>
      </c>
      <c r="O423" t="s">
        <v>22</v>
      </c>
    </row>
    <row r="424" spans="1:15" x14ac:dyDescent="0.2">
      <c r="A424" t="s">
        <v>708</v>
      </c>
      <c r="B424" t="s">
        <v>709</v>
      </c>
      <c r="C424">
        <v>41</v>
      </c>
      <c r="D424" t="s">
        <v>42</v>
      </c>
      <c r="E424" t="s">
        <v>26</v>
      </c>
      <c r="F424" t="s">
        <v>27</v>
      </c>
      <c r="G424" s="2">
        <v>45772</v>
      </c>
      <c r="H424" t="s">
        <v>52</v>
      </c>
      <c r="I424" s="3">
        <v>2109234</v>
      </c>
      <c r="J424">
        <v>713</v>
      </c>
      <c r="K424" t="s">
        <v>78</v>
      </c>
      <c r="L424" t="s">
        <v>38</v>
      </c>
      <c r="M424">
        <v>94</v>
      </c>
      <c r="N424" s="3">
        <v>2320.62</v>
      </c>
      <c r="O424" t="s">
        <v>22</v>
      </c>
    </row>
    <row r="425" spans="1:15" x14ac:dyDescent="0.2">
      <c r="A425" t="s">
        <v>710</v>
      </c>
      <c r="B425" t="s">
        <v>134</v>
      </c>
      <c r="C425">
        <v>64</v>
      </c>
      <c r="D425" t="s">
        <v>37</v>
      </c>
      <c r="E425" t="s">
        <v>17</v>
      </c>
      <c r="F425" t="s">
        <v>18</v>
      </c>
      <c r="G425" s="2">
        <v>45853</v>
      </c>
      <c r="H425" t="s">
        <v>28</v>
      </c>
      <c r="I425" s="3">
        <v>1192529</v>
      </c>
      <c r="J425">
        <v>799</v>
      </c>
      <c r="K425" t="s">
        <v>20</v>
      </c>
      <c r="L425" t="s">
        <v>58</v>
      </c>
      <c r="M425">
        <v>26</v>
      </c>
      <c r="N425" s="3">
        <v>17479.45</v>
      </c>
      <c r="O425" t="s">
        <v>22</v>
      </c>
    </row>
    <row r="426" spans="1:15" x14ac:dyDescent="0.2">
      <c r="A426" t="s">
        <v>711</v>
      </c>
      <c r="B426" t="s">
        <v>201</v>
      </c>
      <c r="C426">
        <v>31</v>
      </c>
      <c r="D426" t="s">
        <v>128</v>
      </c>
      <c r="E426" t="s">
        <v>26</v>
      </c>
      <c r="F426" t="s">
        <v>43</v>
      </c>
      <c r="G426" s="2">
        <v>46158</v>
      </c>
      <c r="H426" t="s">
        <v>28</v>
      </c>
      <c r="I426" s="3">
        <v>4190008</v>
      </c>
      <c r="J426">
        <v>781</v>
      </c>
      <c r="K426" t="s">
        <v>20</v>
      </c>
      <c r="L426" t="s">
        <v>21</v>
      </c>
      <c r="M426">
        <v>51</v>
      </c>
      <c r="N426" s="3">
        <v>500</v>
      </c>
      <c r="O426" t="s">
        <v>22</v>
      </c>
    </row>
    <row r="427" spans="1:15" x14ac:dyDescent="0.2">
      <c r="A427" t="s">
        <v>712</v>
      </c>
      <c r="B427" t="s">
        <v>713</v>
      </c>
      <c r="C427">
        <v>59</v>
      </c>
      <c r="D427" t="s">
        <v>128</v>
      </c>
      <c r="E427" t="s">
        <v>26</v>
      </c>
      <c r="F427" t="s">
        <v>100</v>
      </c>
      <c r="G427" s="2">
        <v>46150</v>
      </c>
      <c r="H427" t="s">
        <v>28</v>
      </c>
      <c r="I427" s="3">
        <v>1837138</v>
      </c>
      <c r="J427">
        <v>725</v>
      </c>
      <c r="K427" t="s">
        <v>57</v>
      </c>
      <c r="L427" t="s">
        <v>45</v>
      </c>
      <c r="M427">
        <v>47</v>
      </c>
      <c r="N427" s="3">
        <v>13371.74</v>
      </c>
      <c r="O427" t="s">
        <v>22</v>
      </c>
    </row>
    <row r="428" spans="1:15" x14ac:dyDescent="0.2">
      <c r="A428" t="s">
        <v>714</v>
      </c>
      <c r="B428" t="s">
        <v>433</v>
      </c>
      <c r="C428">
        <v>24</v>
      </c>
      <c r="D428" t="s">
        <v>55</v>
      </c>
      <c r="E428" t="s">
        <v>26</v>
      </c>
      <c r="F428" t="s">
        <v>43</v>
      </c>
      <c r="G428" s="2">
        <v>45732</v>
      </c>
      <c r="H428" t="s">
        <v>44</v>
      </c>
      <c r="I428" s="3">
        <v>2336172</v>
      </c>
      <c r="J428">
        <v>706</v>
      </c>
      <c r="K428" t="s">
        <v>29</v>
      </c>
      <c r="L428" t="s">
        <v>58</v>
      </c>
      <c r="M428">
        <v>26</v>
      </c>
      <c r="N428" s="3">
        <v>41853.67</v>
      </c>
      <c r="O428" t="s">
        <v>22</v>
      </c>
    </row>
    <row r="429" spans="1:15" x14ac:dyDescent="0.2">
      <c r="A429" t="s">
        <v>715</v>
      </c>
      <c r="B429" t="s">
        <v>590</v>
      </c>
      <c r="C429">
        <v>21</v>
      </c>
      <c r="D429" t="s">
        <v>89</v>
      </c>
      <c r="E429" t="s">
        <v>26</v>
      </c>
      <c r="F429" t="s">
        <v>43</v>
      </c>
      <c r="G429" s="2">
        <v>46070</v>
      </c>
      <c r="H429" t="s">
        <v>52</v>
      </c>
      <c r="I429" s="3">
        <v>1615265</v>
      </c>
      <c r="J429">
        <v>714</v>
      </c>
      <c r="K429" t="s">
        <v>29</v>
      </c>
      <c r="L429" t="s">
        <v>58</v>
      </c>
      <c r="M429">
        <v>84</v>
      </c>
      <c r="N429" s="3">
        <v>3582.77</v>
      </c>
      <c r="O429" t="s">
        <v>22</v>
      </c>
    </row>
    <row r="430" spans="1:15" x14ac:dyDescent="0.2">
      <c r="A430" t="s">
        <v>716</v>
      </c>
      <c r="B430" t="s">
        <v>24</v>
      </c>
      <c r="C430">
        <v>48</v>
      </c>
      <c r="D430" t="s">
        <v>128</v>
      </c>
      <c r="E430" t="s">
        <v>83</v>
      </c>
      <c r="F430" t="s">
        <v>27</v>
      </c>
      <c r="G430" s="2">
        <v>46033</v>
      </c>
      <c r="H430" t="s">
        <v>28</v>
      </c>
      <c r="I430" s="3">
        <v>4180131</v>
      </c>
      <c r="J430">
        <v>693</v>
      </c>
      <c r="K430" t="s">
        <v>57</v>
      </c>
      <c r="L430" t="s">
        <v>30</v>
      </c>
      <c r="M430">
        <v>106</v>
      </c>
      <c r="N430" s="3">
        <v>2991.55</v>
      </c>
      <c r="O430" t="s">
        <v>22</v>
      </c>
    </row>
    <row r="431" spans="1:15" x14ac:dyDescent="0.2">
      <c r="A431" t="s">
        <v>717</v>
      </c>
      <c r="B431" t="s">
        <v>718</v>
      </c>
      <c r="C431">
        <v>44</v>
      </c>
      <c r="D431" t="s">
        <v>42</v>
      </c>
      <c r="E431" t="s">
        <v>83</v>
      </c>
      <c r="F431" t="s">
        <v>27</v>
      </c>
      <c r="G431" s="2">
        <v>46077</v>
      </c>
      <c r="H431" t="s">
        <v>28</v>
      </c>
      <c r="I431" s="3">
        <v>3492222</v>
      </c>
      <c r="J431">
        <v>843</v>
      </c>
      <c r="K431" t="s">
        <v>67</v>
      </c>
      <c r="L431" t="s">
        <v>45</v>
      </c>
      <c r="M431">
        <v>92</v>
      </c>
      <c r="N431" s="3">
        <v>16639.330000000002</v>
      </c>
      <c r="O431" t="s">
        <v>22</v>
      </c>
    </row>
    <row r="432" spans="1:15" x14ac:dyDescent="0.2">
      <c r="A432" t="s">
        <v>719</v>
      </c>
      <c r="B432" t="s">
        <v>261</v>
      </c>
      <c r="C432">
        <v>55</v>
      </c>
      <c r="D432" t="s">
        <v>55</v>
      </c>
      <c r="E432" t="s">
        <v>26</v>
      </c>
      <c r="F432" t="s">
        <v>100</v>
      </c>
      <c r="G432" s="2">
        <v>45934</v>
      </c>
      <c r="I432" s="3">
        <v>365981</v>
      </c>
      <c r="J432">
        <v>643</v>
      </c>
      <c r="K432" t="s">
        <v>86</v>
      </c>
      <c r="L432" t="s">
        <v>38</v>
      </c>
      <c r="M432">
        <v>120</v>
      </c>
      <c r="N432" s="3">
        <v>2619.4499999999998</v>
      </c>
      <c r="O432" t="s">
        <v>22</v>
      </c>
    </row>
    <row r="433" spans="1:15" x14ac:dyDescent="0.2">
      <c r="A433" t="s">
        <v>720</v>
      </c>
      <c r="B433" t="s">
        <v>721</v>
      </c>
      <c r="C433">
        <v>33</v>
      </c>
      <c r="D433" t="s">
        <v>105</v>
      </c>
      <c r="E433" t="s">
        <v>56</v>
      </c>
      <c r="F433" t="s">
        <v>27</v>
      </c>
      <c r="G433" s="2">
        <v>46051</v>
      </c>
      <c r="H433" t="s">
        <v>19</v>
      </c>
      <c r="I433" s="3">
        <v>4460608</v>
      </c>
      <c r="J433">
        <v>714</v>
      </c>
      <c r="K433" t="s">
        <v>78</v>
      </c>
      <c r="L433" t="s">
        <v>58</v>
      </c>
      <c r="M433">
        <v>84</v>
      </c>
      <c r="N433" s="3">
        <v>20980.73</v>
      </c>
      <c r="O433" t="s">
        <v>22</v>
      </c>
    </row>
    <row r="434" spans="1:15" x14ac:dyDescent="0.2">
      <c r="A434" t="s">
        <v>722</v>
      </c>
      <c r="B434" t="s">
        <v>77</v>
      </c>
      <c r="C434">
        <v>67</v>
      </c>
      <c r="D434" t="s">
        <v>128</v>
      </c>
      <c r="E434" t="s">
        <v>26</v>
      </c>
      <c r="F434" t="s">
        <v>27</v>
      </c>
      <c r="G434" s="2">
        <v>46114</v>
      </c>
      <c r="H434" t="s">
        <v>33</v>
      </c>
      <c r="I434" s="3">
        <v>1572014</v>
      </c>
      <c r="J434">
        <v>620</v>
      </c>
      <c r="K434" t="s">
        <v>29</v>
      </c>
      <c r="L434" t="s">
        <v>58</v>
      </c>
      <c r="M434">
        <v>75</v>
      </c>
      <c r="N434" s="3">
        <v>2853.28</v>
      </c>
      <c r="O434" t="s">
        <v>22</v>
      </c>
    </row>
    <row r="435" spans="1:15" x14ac:dyDescent="0.2">
      <c r="A435" t="s">
        <v>723</v>
      </c>
      <c r="B435" t="s">
        <v>652</v>
      </c>
      <c r="C435">
        <v>54</v>
      </c>
      <c r="D435" t="s">
        <v>51</v>
      </c>
      <c r="E435" t="s">
        <v>17</v>
      </c>
      <c r="F435" t="s">
        <v>18</v>
      </c>
      <c r="G435" s="2">
        <v>45849</v>
      </c>
      <c r="H435" t="s">
        <v>28</v>
      </c>
      <c r="I435" s="3">
        <v>538569</v>
      </c>
      <c r="J435">
        <v>582</v>
      </c>
      <c r="K435" t="s">
        <v>57</v>
      </c>
      <c r="L435" t="s">
        <v>21</v>
      </c>
      <c r="M435">
        <v>74</v>
      </c>
      <c r="N435" s="3">
        <v>57343.94</v>
      </c>
      <c r="O435" t="s">
        <v>22</v>
      </c>
    </row>
    <row r="436" spans="1:15" x14ac:dyDescent="0.2">
      <c r="A436" t="s">
        <v>724</v>
      </c>
      <c r="B436" t="s">
        <v>127</v>
      </c>
      <c r="C436">
        <v>31</v>
      </c>
      <c r="D436" t="s">
        <v>55</v>
      </c>
      <c r="E436" t="s">
        <v>56</v>
      </c>
      <c r="F436" t="s">
        <v>27</v>
      </c>
      <c r="G436" s="2">
        <v>45756</v>
      </c>
      <c r="H436" t="s">
        <v>33</v>
      </c>
      <c r="I436" s="3">
        <v>974071</v>
      </c>
      <c r="J436">
        <v>773</v>
      </c>
      <c r="K436" t="s">
        <v>34</v>
      </c>
      <c r="L436" t="s">
        <v>30</v>
      </c>
      <c r="M436">
        <v>61</v>
      </c>
      <c r="N436" s="3">
        <v>17951.36</v>
      </c>
      <c r="O436" t="s">
        <v>22</v>
      </c>
    </row>
    <row r="437" spans="1:15" x14ac:dyDescent="0.2">
      <c r="A437" t="s">
        <v>725</v>
      </c>
      <c r="B437" t="s">
        <v>15</v>
      </c>
      <c r="C437">
        <v>56</v>
      </c>
      <c r="D437" t="s">
        <v>42</v>
      </c>
      <c r="E437" t="s">
        <v>83</v>
      </c>
      <c r="F437" t="s">
        <v>100</v>
      </c>
      <c r="G437" s="2">
        <v>46205</v>
      </c>
      <c r="H437" t="s">
        <v>28</v>
      </c>
      <c r="I437" s="3">
        <v>3506505</v>
      </c>
      <c r="J437">
        <v>689</v>
      </c>
      <c r="K437" t="s">
        <v>67</v>
      </c>
      <c r="L437" t="s">
        <v>58</v>
      </c>
      <c r="M437">
        <v>23</v>
      </c>
      <c r="N437" s="3">
        <v>9320.26</v>
      </c>
      <c r="O437" t="s">
        <v>22</v>
      </c>
    </row>
    <row r="438" spans="1:15" x14ac:dyDescent="0.2">
      <c r="A438" t="s">
        <v>726</v>
      </c>
      <c r="B438" t="s">
        <v>401</v>
      </c>
      <c r="C438">
        <v>37</v>
      </c>
      <c r="D438" t="s">
        <v>51</v>
      </c>
      <c r="E438" t="s">
        <v>26</v>
      </c>
      <c r="F438" t="s">
        <v>18</v>
      </c>
      <c r="G438" s="2">
        <v>45753</v>
      </c>
      <c r="H438" t="s">
        <v>19</v>
      </c>
      <c r="I438" s="3">
        <v>652641</v>
      </c>
      <c r="J438">
        <v>800</v>
      </c>
      <c r="K438" t="s">
        <v>20</v>
      </c>
      <c r="L438" t="s">
        <v>58</v>
      </c>
      <c r="M438">
        <v>37</v>
      </c>
      <c r="N438" s="3">
        <v>53975.89</v>
      </c>
      <c r="O438" t="s">
        <v>22</v>
      </c>
    </row>
    <row r="439" spans="1:15" x14ac:dyDescent="0.2">
      <c r="A439" t="s">
        <v>727</v>
      </c>
      <c r="B439" t="s">
        <v>351</v>
      </c>
      <c r="C439">
        <v>55</v>
      </c>
      <c r="D439" t="s">
        <v>25</v>
      </c>
      <c r="E439" t="s">
        <v>56</v>
      </c>
      <c r="F439" t="s">
        <v>43</v>
      </c>
      <c r="G439" s="2">
        <v>45847</v>
      </c>
      <c r="H439" t="s">
        <v>28</v>
      </c>
      <c r="I439" s="3">
        <v>4026764</v>
      </c>
      <c r="J439">
        <v>583</v>
      </c>
      <c r="K439" t="s">
        <v>92</v>
      </c>
      <c r="L439" t="s">
        <v>38</v>
      </c>
      <c r="M439">
        <v>41</v>
      </c>
      <c r="N439" s="3">
        <v>26452.9</v>
      </c>
      <c r="O439" t="s">
        <v>22</v>
      </c>
    </row>
    <row r="440" spans="1:15" x14ac:dyDescent="0.2">
      <c r="A440" t="s">
        <v>728</v>
      </c>
      <c r="B440" t="s">
        <v>388</v>
      </c>
      <c r="C440">
        <v>38</v>
      </c>
      <c r="D440" t="s">
        <v>25</v>
      </c>
      <c r="E440" t="s">
        <v>26</v>
      </c>
      <c r="F440" t="s">
        <v>100</v>
      </c>
      <c r="G440" s="2">
        <v>45694</v>
      </c>
      <c r="H440" t="s">
        <v>33</v>
      </c>
      <c r="I440" s="3">
        <v>1765538</v>
      </c>
      <c r="J440">
        <v>823</v>
      </c>
      <c r="K440" t="s">
        <v>34</v>
      </c>
      <c r="L440" t="s">
        <v>38</v>
      </c>
      <c r="M440">
        <v>52</v>
      </c>
      <c r="N440" s="3">
        <v>13187.8</v>
      </c>
      <c r="O440" t="s">
        <v>22</v>
      </c>
    </row>
    <row r="441" spans="1:15" x14ac:dyDescent="0.2">
      <c r="A441" t="s">
        <v>729</v>
      </c>
      <c r="B441" t="s">
        <v>638</v>
      </c>
      <c r="C441">
        <v>60</v>
      </c>
      <c r="D441" t="s">
        <v>128</v>
      </c>
      <c r="E441" t="s">
        <v>83</v>
      </c>
      <c r="F441" t="s">
        <v>27</v>
      </c>
      <c r="G441" s="2">
        <v>46026</v>
      </c>
      <c r="H441" t="s">
        <v>28</v>
      </c>
      <c r="I441" s="3">
        <v>3149675</v>
      </c>
      <c r="J441">
        <v>745</v>
      </c>
      <c r="K441" t="s">
        <v>57</v>
      </c>
      <c r="L441" t="s">
        <v>21</v>
      </c>
      <c r="M441">
        <v>83</v>
      </c>
      <c r="N441" s="3">
        <v>1266</v>
      </c>
      <c r="O441" t="s">
        <v>22</v>
      </c>
    </row>
    <row r="442" spans="1:15" x14ac:dyDescent="0.2">
      <c r="A442" t="s">
        <v>730</v>
      </c>
      <c r="B442" t="s">
        <v>15</v>
      </c>
      <c r="C442">
        <v>42</v>
      </c>
      <c r="D442" t="s">
        <v>51</v>
      </c>
      <c r="E442" t="s">
        <v>26</v>
      </c>
      <c r="F442" t="s">
        <v>27</v>
      </c>
      <c r="G442" s="2">
        <v>46182</v>
      </c>
      <c r="H442" t="s">
        <v>52</v>
      </c>
      <c r="I442" s="3">
        <v>3649902</v>
      </c>
      <c r="J442">
        <v>605</v>
      </c>
      <c r="K442" t="s">
        <v>92</v>
      </c>
      <c r="L442" t="s">
        <v>21</v>
      </c>
      <c r="M442">
        <v>109</v>
      </c>
      <c r="N442" s="3">
        <v>4287.38</v>
      </c>
      <c r="O442" t="s">
        <v>22</v>
      </c>
    </row>
    <row r="443" spans="1:15" x14ac:dyDescent="0.2">
      <c r="A443" t="s">
        <v>731</v>
      </c>
      <c r="B443" t="s">
        <v>98</v>
      </c>
      <c r="C443">
        <v>44</v>
      </c>
      <c r="D443" t="s">
        <v>16</v>
      </c>
      <c r="E443" t="s">
        <v>17</v>
      </c>
      <c r="F443" t="s">
        <v>27</v>
      </c>
      <c r="G443" s="2">
        <v>45936</v>
      </c>
      <c r="H443" t="s">
        <v>52</v>
      </c>
      <c r="I443" s="3">
        <v>3649618</v>
      </c>
      <c r="J443">
        <v>596</v>
      </c>
      <c r="K443" t="s">
        <v>86</v>
      </c>
      <c r="L443" t="s">
        <v>21</v>
      </c>
      <c r="M443">
        <v>82</v>
      </c>
      <c r="N443" s="3">
        <v>27992.17</v>
      </c>
      <c r="O443" t="s">
        <v>22</v>
      </c>
    </row>
    <row r="444" spans="1:15" x14ac:dyDescent="0.2">
      <c r="A444" t="s">
        <v>732</v>
      </c>
      <c r="B444" t="s">
        <v>91</v>
      </c>
      <c r="C444">
        <v>39</v>
      </c>
      <c r="D444" t="s">
        <v>70</v>
      </c>
      <c r="E444" t="s">
        <v>17</v>
      </c>
      <c r="F444" t="s">
        <v>27</v>
      </c>
      <c r="G444" s="2">
        <v>45874</v>
      </c>
      <c r="H444" t="s">
        <v>33</v>
      </c>
      <c r="I444" s="3">
        <v>3654629</v>
      </c>
      <c r="J444">
        <v>795</v>
      </c>
      <c r="K444" t="s">
        <v>78</v>
      </c>
      <c r="L444" t="s">
        <v>38</v>
      </c>
      <c r="M444">
        <v>49</v>
      </c>
      <c r="N444" s="3">
        <v>2286.71</v>
      </c>
      <c r="O444" t="s">
        <v>22</v>
      </c>
    </row>
    <row r="445" spans="1:15" x14ac:dyDescent="0.2">
      <c r="A445" t="s">
        <v>733</v>
      </c>
      <c r="B445" t="s">
        <v>117</v>
      </c>
      <c r="C445">
        <v>57</v>
      </c>
      <c r="D445" t="s">
        <v>25</v>
      </c>
      <c r="E445" t="s">
        <v>17</v>
      </c>
      <c r="F445" t="s">
        <v>18</v>
      </c>
      <c r="G445" s="2">
        <v>45930</v>
      </c>
      <c r="H445" t="s">
        <v>33</v>
      </c>
      <c r="I445" s="3">
        <v>2442848</v>
      </c>
      <c r="J445">
        <v>671</v>
      </c>
      <c r="K445" t="s">
        <v>92</v>
      </c>
      <c r="L445" t="s">
        <v>38</v>
      </c>
      <c r="M445">
        <v>27</v>
      </c>
      <c r="N445" s="3">
        <v>4007.77</v>
      </c>
      <c r="O445" t="s">
        <v>22</v>
      </c>
    </row>
    <row r="446" spans="1:15" x14ac:dyDescent="0.2">
      <c r="A446" t="s">
        <v>734</v>
      </c>
      <c r="B446" t="s">
        <v>521</v>
      </c>
      <c r="C446">
        <v>59</v>
      </c>
      <c r="D446" t="s">
        <v>16</v>
      </c>
      <c r="E446" t="s">
        <v>26</v>
      </c>
      <c r="F446" t="s">
        <v>100</v>
      </c>
      <c r="G446" s="2">
        <v>45719</v>
      </c>
      <c r="H446" t="s">
        <v>44</v>
      </c>
      <c r="I446" s="3">
        <v>3023219</v>
      </c>
      <c r="J446">
        <v>610</v>
      </c>
      <c r="K446" t="s">
        <v>67</v>
      </c>
      <c r="L446" t="s">
        <v>30</v>
      </c>
      <c r="M446">
        <v>6</v>
      </c>
      <c r="N446" s="3">
        <v>3061.92</v>
      </c>
      <c r="O446" t="s">
        <v>22</v>
      </c>
    </row>
    <row r="447" spans="1:15" x14ac:dyDescent="0.2">
      <c r="A447" t="s">
        <v>735</v>
      </c>
      <c r="B447" t="s">
        <v>32</v>
      </c>
      <c r="C447">
        <v>41</v>
      </c>
      <c r="D447" t="s">
        <v>105</v>
      </c>
      <c r="E447" t="s">
        <v>83</v>
      </c>
      <c r="F447" t="s">
        <v>27</v>
      </c>
      <c r="G447" s="2">
        <v>46253</v>
      </c>
      <c r="H447" t="s">
        <v>28</v>
      </c>
      <c r="I447" s="3">
        <v>1894173</v>
      </c>
      <c r="J447">
        <v>784</v>
      </c>
      <c r="K447" t="s">
        <v>86</v>
      </c>
      <c r="L447" t="s">
        <v>45</v>
      </c>
      <c r="M447">
        <v>74</v>
      </c>
      <c r="N447" s="3">
        <v>13663.38</v>
      </c>
      <c r="O447" t="s">
        <v>22</v>
      </c>
    </row>
    <row r="448" spans="1:15" x14ac:dyDescent="0.2">
      <c r="A448" t="s">
        <v>736</v>
      </c>
      <c r="B448" t="s">
        <v>737</v>
      </c>
      <c r="C448">
        <v>28</v>
      </c>
      <c r="D448" t="s">
        <v>55</v>
      </c>
      <c r="E448" t="s">
        <v>26</v>
      </c>
      <c r="F448" t="s">
        <v>27</v>
      </c>
      <c r="G448" s="2">
        <v>45999</v>
      </c>
      <c r="H448" t="s">
        <v>28</v>
      </c>
      <c r="I448" s="3">
        <v>1219224</v>
      </c>
      <c r="J448">
        <v>786</v>
      </c>
      <c r="K448" t="s">
        <v>92</v>
      </c>
      <c r="L448" t="s">
        <v>45</v>
      </c>
      <c r="M448">
        <v>66</v>
      </c>
      <c r="N448" s="3">
        <v>24631.77</v>
      </c>
      <c r="O448" t="s">
        <v>22</v>
      </c>
    </row>
    <row r="449" spans="1:15" x14ac:dyDescent="0.2">
      <c r="A449" t="s">
        <v>738</v>
      </c>
      <c r="B449" t="s">
        <v>240</v>
      </c>
      <c r="C449">
        <v>48</v>
      </c>
      <c r="D449" t="s">
        <v>70</v>
      </c>
      <c r="E449" t="s">
        <v>17</v>
      </c>
      <c r="F449" t="s">
        <v>100</v>
      </c>
      <c r="G449" s="2">
        <v>46054</v>
      </c>
      <c r="H449" t="s">
        <v>28</v>
      </c>
      <c r="I449" s="3">
        <v>3017549</v>
      </c>
      <c r="J449">
        <v>686</v>
      </c>
      <c r="K449" t="s">
        <v>20</v>
      </c>
      <c r="L449" t="s">
        <v>30</v>
      </c>
      <c r="M449">
        <v>24</v>
      </c>
      <c r="N449" s="3">
        <v>24657.31</v>
      </c>
      <c r="O449" t="s">
        <v>22</v>
      </c>
    </row>
    <row r="450" spans="1:15" x14ac:dyDescent="0.2">
      <c r="A450" t="s">
        <v>739</v>
      </c>
      <c r="B450" t="s">
        <v>492</v>
      </c>
      <c r="C450">
        <v>25</v>
      </c>
      <c r="D450" t="s">
        <v>48</v>
      </c>
      <c r="E450" t="s">
        <v>26</v>
      </c>
      <c r="F450" t="s">
        <v>27</v>
      </c>
      <c r="G450" s="2">
        <v>45676</v>
      </c>
      <c r="H450" t="s">
        <v>19</v>
      </c>
      <c r="I450" s="3">
        <v>486436</v>
      </c>
      <c r="J450">
        <v>725</v>
      </c>
      <c r="K450" t="s">
        <v>20</v>
      </c>
      <c r="L450" t="s">
        <v>45</v>
      </c>
      <c r="M450">
        <v>38</v>
      </c>
      <c r="N450" s="3">
        <v>3657.52</v>
      </c>
      <c r="O450" t="s">
        <v>22</v>
      </c>
    </row>
    <row r="451" spans="1:15" x14ac:dyDescent="0.2">
      <c r="A451" t="s">
        <v>740</v>
      </c>
      <c r="B451" t="s">
        <v>565</v>
      </c>
      <c r="C451">
        <v>37</v>
      </c>
      <c r="D451" t="s">
        <v>42</v>
      </c>
      <c r="E451" t="s">
        <v>26</v>
      </c>
      <c r="F451" t="s">
        <v>43</v>
      </c>
      <c r="G451" s="2">
        <v>45834</v>
      </c>
      <c r="H451" t="s">
        <v>28</v>
      </c>
      <c r="I451" s="3">
        <v>2464178</v>
      </c>
      <c r="J451">
        <v>680</v>
      </c>
      <c r="K451" t="s">
        <v>67</v>
      </c>
      <c r="L451" t="s">
        <v>38</v>
      </c>
      <c r="M451">
        <v>28</v>
      </c>
      <c r="N451" s="3">
        <v>13468.26</v>
      </c>
      <c r="O451" t="s">
        <v>22</v>
      </c>
    </row>
    <row r="452" spans="1:15" x14ac:dyDescent="0.2">
      <c r="A452" t="s">
        <v>741</v>
      </c>
      <c r="B452" t="s">
        <v>427</v>
      </c>
      <c r="C452">
        <v>57</v>
      </c>
      <c r="D452" t="s">
        <v>37</v>
      </c>
      <c r="E452" t="s">
        <v>17</v>
      </c>
      <c r="F452" t="s">
        <v>27</v>
      </c>
      <c r="G452" s="2">
        <v>46053</v>
      </c>
      <c r="H452" t="s">
        <v>52</v>
      </c>
      <c r="I452" s="3">
        <v>324804</v>
      </c>
      <c r="J452">
        <v>820</v>
      </c>
      <c r="K452" t="s">
        <v>20</v>
      </c>
      <c r="L452" t="s">
        <v>45</v>
      </c>
      <c r="M452">
        <v>28</v>
      </c>
      <c r="N452" s="3">
        <v>3481.17</v>
      </c>
      <c r="O452" t="s">
        <v>22</v>
      </c>
    </row>
    <row r="453" spans="1:15" x14ac:dyDescent="0.2">
      <c r="A453" t="s">
        <v>742</v>
      </c>
      <c r="B453" t="s">
        <v>650</v>
      </c>
      <c r="C453">
        <v>56</v>
      </c>
      <c r="D453" t="s">
        <v>55</v>
      </c>
      <c r="E453" t="s">
        <v>26</v>
      </c>
      <c r="F453" t="s">
        <v>100</v>
      </c>
      <c r="G453" s="2">
        <v>46102</v>
      </c>
      <c r="H453" t="s">
        <v>33</v>
      </c>
      <c r="I453" s="3">
        <v>3907390</v>
      </c>
      <c r="J453">
        <v>826</v>
      </c>
      <c r="K453" t="s">
        <v>20</v>
      </c>
      <c r="L453" t="s">
        <v>38</v>
      </c>
      <c r="M453">
        <v>117</v>
      </c>
      <c r="N453" s="3">
        <v>7179.06</v>
      </c>
      <c r="O453" t="s">
        <v>22</v>
      </c>
    </row>
    <row r="454" spans="1:15" x14ac:dyDescent="0.2">
      <c r="A454" t="s">
        <v>743</v>
      </c>
      <c r="B454" t="s">
        <v>744</v>
      </c>
      <c r="C454">
        <v>39</v>
      </c>
      <c r="D454" t="s">
        <v>70</v>
      </c>
      <c r="E454" t="s">
        <v>26</v>
      </c>
      <c r="F454" t="s">
        <v>43</v>
      </c>
      <c r="G454" s="2">
        <v>45890</v>
      </c>
      <c r="H454" t="s">
        <v>28</v>
      </c>
      <c r="I454" s="3">
        <v>3226877</v>
      </c>
      <c r="J454">
        <v>742</v>
      </c>
      <c r="K454" t="s">
        <v>57</v>
      </c>
      <c r="L454" t="s">
        <v>30</v>
      </c>
      <c r="M454">
        <v>109</v>
      </c>
      <c r="N454" s="3">
        <v>15462.55</v>
      </c>
      <c r="O454" t="s">
        <v>22</v>
      </c>
    </row>
    <row r="455" spans="1:15" x14ac:dyDescent="0.2">
      <c r="A455" t="s">
        <v>745</v>
      </c>
      <c r="B455" t="s">
        <v>746</v>
      </c>
      <c r="C455">
        <v>47</v>
      </c>
      <c r="D455" t="s">
        <v>42</v>
      </c>
      <c r="E455" t="s">
        <v>26</v>
      </c>
      <c r="F455" t="s">
        <v>18</v>
      </c>
      <c r="G455" s="2">
        <v>45733</v>
      </c>
      <c r="H455" t="s">
        <v>28</v>
      </c>
      <c r="I455" s="3">
        <v>4039514</v>
      </c>
      <c r="J455">
        <v>752</v>
      </c>
      <c r="K455" t="s">
        <v>20</v>
      </c>
      <c r="L455" t="s">
        <v>21</v>
      </c>
      <c r="M455">
        <v>114</v>
      </c>
      <c r="N455" s="3">
        <v>27294.6</v>
      </c>
      <c r="O455" t="s">
        <v>22</v>
      </c>
    </row>
    <row r="456" spans="1:15" x14ac:dyDescent="0.2">
      <c r="A456" t="s">
        <v>747</v>
      </c>
      <c r="B456" t="s">
        <v>748</v>
      </c>
      <c r="C456">
        <v>54</v>
      </c>
      <c r="D456" t="s">
        <v>70</v>
      </c>
      <c r="E456" t="s">
        <v>26</v>
      </c>
      <c r="F456" t="s">
        <v>18</v>
      </c>
      <c r="G456" s="2">
        <v>45922</v>
      </c>
      <c r="H456" t="s">
        <v>28</v>
      </c>
      <c r="I456" s="3">
        <v>2222871</v>
      </c>
      <c r="J456">
        <v>614</v>
      </c>
      <c r="K456" t="s">
        <v>34</v>
      </c>
      <c r="L456" t="s">
        <v>30</v>
      </c>
      <c r="M456">
        <v>103</v>
      </c>
      <c r="N456" s="3">
        <v>937.42</v>
      </c>
      <c r="O456" t="s">
        <v>22</v>
      </c>
    </row>
    <row r="457" spans="1:15" x14ac:dyDescent="0.2">
      <c r="A457" t="s">
        <v>749</v>
      </c>
      <c r="B457" t="s">
        <v>475</v>
      </c>
      <c r="C457">
        <v>31</v>
      </c>
      <c r="D457" t="s">
        <v>51</v>
      </c>
      <c r="E457" t="s">
        <v>56</v>
      </c>
      <c r="F457" t="s">
        <v>27</v>
      </c>
      <c r="G457" s="2">
        <v>46112</v>
      </c>
      <c r="H457" t="s">
        <v>28</v>
      </c>
      <c r="I457" s="3">
        <v>2190483</v>
      </c>
      <c r="J457">
        <v>600</v>
      </c>
      <c r="K457" t="s">
        <v>20</v>
      </c>
      <c r="L457" t="s">
        <v>45</v>
      </c>
      <c r="M457">
        <v>66</v>
      </c>
      <c r="N457" s="3">
        <v>9932.49</v>
      </c>
      <c r="O457" t="s">
        <v>22</v>
      </c>
    </row>
    <row r="458" spans="1:15" x14ac:dyDescent="0.2">
      <c r="A458" t="s">
        <v>750</v>
      </c>
      <c r="B458" t="s">
        <v>348</v>
      </c>
      <c r="C458">
        <v>65</v>
      </c>
      <c r="D458" t="s">
        <v>105</v>
      </c>
      <c r="E458" t="s">
        <v>56</v>
      </c>
      <c r="F458" t="s">
        <v>27</v>
      </c>
      <c r="G458" s="2">
        <v>46041</v>
      </c>
      <c r="H458" t="s">
        <v>28</v>
      </c>
      <c r="I458" s="3">
        <v>3161898</v>
      </c>
      <c r="J458">
        <v>742</v>
      </c>
      <c r="K458" t="s">
        <v>34</v>
      </c>
      <c r="L458" t="s">
        <v>38</v>
      </c>
      <c r="M458">
        <v>61</v>
      </c>
      <c r="N458" s="3">
        <v>39248.089999999997</v>
      </c>
      <c r="O458" t="s">
        <v>22</v>
      </c>
    </row>
    <row r="459" spans="1:15" x14ac:dyDescent="0.2">
      <c r="A459" t="s">
        <v>751</v>
      </c>
      <c r="B459" t="s">
        <v>205</v>
      </c>
      <c r="C459">
        <v>67</v>
      </c>
      <c r="D459" t="s">
        <v>75</v>
      </c>
      <c r="E459" t="s">
        <v>26</v>
      </c>
      <c r="F459" t="s">
        <v>18</v>
      </c>
      <c r="G459" s="2">
        <v>46221</v>
      </c>
      <c r="H459" t="s">
        <v>28</v>
      </c>
      <c r="I459" s="3">
        <v>737335</v>
      </c>
      <c r="J459">
        <v>676</v>
      </c>
      <c r="K459" t="s">
        <v>57</v>
      </c>
      <c r="L459" t="s">
        <v>45</v>
      </c>
      <c r="M459">
        <v>46</v>
      </c>
      <c r="N459" s="3">
        <v>11428.1</v>
      </c>
      <c r="O459" t="s">
        <v>22</v>
      </c>
    </row>
    <row r="460" spans="1:15" x14ac:dyDescent="0.2">
      <c r="A460" t="s">
        <v>752</v>
      </c>
      <c r="B460" t="s">
        <v>397</v>
      </c>
      <c r="C460">
        <v>32</v>
      </c>
      <c r="D460" t="s">
        <v>37</v>
      </c>
      <c r="E460" t="s">
        <v>26</v>
      </c>
      <c r="F460" t="s">
        <v>27</v>
      </c>
      <c r="G460" s="2">
        <v>46163</v>
      </c>
      <c r="H460" t="s">
        <v>44</v>
      </c>
      <c r="I460" s="3">
        <v>3759163</v>
      </c>
      <c r="J460">
        <v>634</v>
      </c>
      <c r="K460" t="s">
        <v>20</v>
      </c>
      <c r="L460" t="s">
        <v>45</v>
      </c>
      <c r="M460">
        <v>69</v>
      </c>
      <c r="N460" s="3">
        <v>9766.7999999999993</v>
      </c>
      <c r="O460" t="s">
        <v>22</v>
      </c>
    </row>
    <row r="461" spans="1:15" x14ac:dyDescent="0.2">
      <c r="A461" t="s">
        <v>753</v>
      </c>
      <c r="B461" t="s">
        <v>754</v>
      </c>
      <c r="C461">
        <v>41</v>
      </c>
      <c r="D461" t="s">
        <v>128</v>
      </c>
      <c r="E461" t="s">
        <v>26</v>
      </c>
      <c r="F461" t="s">
        <v>18</v>
      </c>
      <c r="G461" s="2">
        <v>46024</v>
      </c>
      <c r="H461" t="s">
        <v>19</v>
      </c>
      <c r="I461" s="3">
        <v>3637951</v>
      </c>
      <c r="J461">
        <v>706</v>
      </c>
      <c r="K461" t="s">
        <v>67</v>
      </c>
      <c r="L461" t="s">
        <v>21</v>
      </c>
      <c r="M461">
        <v>114</v>
      </c>
      <c r="N461" s="3">
        <v>4958.42</v>
      </c>
      <c r="O461" t="s">
        <v>22</v>
      </c>
    </row>
    <row r="462" spans="1:15" x14ac:dyDescent="0.2">
      <c r="A462" t="s">
        <v>755</v>
      </c>
      <c r="B462" t="s">
        <v>756</v>
      </c>
      <c r="C462">
        <v>31</v>
      </c>
      <c r="D462" t="s">
        <v>70</v>
      </c>
      <c r="E462" t="s">
        <v>26</v>
      </c>
      <c r="F462" t="s">
        <v>100</v>
      </c>
      <c r="G462" s="2">
        <v>45801</v>
      </c>
      <c r="H462" t="s">
        <v>28</v>
      </c>
      <c r="I462" s="3">
        <v>1511402</v>
      </c>
      <c r="J462">
        <v>772</v>
      </c>
      <c r="K462" t="s">
        <v>86</v>
      </c>
      <c r="L462" t="s">
        <v>45</v>
      </c>
      <c r="M462">
        <v>75</v>
      </c>
      <c r="N462" s="3">
        <v>38169.449999999997</v>
      </c>
      <c r="O462" t="s">
        <v>22</v>
      </c>
    </row>
    <row r="463" spans="1:15" x14ac:dyDescent="0.2">
      <c r="A463" t="s">
        <v>757</v>
      </c>
      <c r="B463" t="s">
        <v>617</v>
      </c>
      <c r="C463">
        <v>59</v>
      </c>
      <c r="D463" t="s">
        <v>42</v>
      </c>
      <c r="E463" t="s">
        <v>17</v>
      </c>
      <c r="F463" t="s">
        <v>43</v>
      </c>
      <c r="G463" s="2">
        <v>45726</v>
      </c>
      <c r="H463" t="s">
        <v>28</v>
      </c>
      <c r="I463" s="3">
        <v>4125251</v>
      </c>
      <c r="J463">
        <v>822</v>
      </c>
      <c r="K463" t="s">
        <v>67</v>
      </c>
      <c r="L463" t="s">
        <v>21</v>
      </c>
      <c r="M463">
        <v>74</v>
      </c>
      <c r="N463" s="3">
        <v>5205.01</v>
      </c>
      <c r="O463" t="s">
        <v>22</v>
      </c>
    </row>
    <row r="464" spans="1:15" x14ac:dyDescent="0.2">
      <c r="A464" t="s">
        <v>758</v>
      </c>
      <c r="B464" t="s">
        <v>460</v>
      </c>
      <c r="C464">
        <v>48</v>
      </c>
      <c r="D464" t="s">
        <v>42</v>
      </c>
      <c r="E464" t="s">
        <v>17</v>
      </c>
      <c r="F464" t="s">
        <v>18</v>
      </c>
      <c r="G464" s="2">
        <v>45756</v>
      </c>
      <c r="H464" t="s">
        <v>28</v>
      </c>
      <c r="I464" s="3">
        <v>4090507</v>
      </c>
      <c r="J464">
        <v>667</v>
      </c>
      <c r="K464" t="s">
        <v>86</v>
      </c>
      <c r="L464" t="s">
        <v>38</v>
      </c>
      <c r="M464">
        <v>43</v>
      </c>
      <c r="N464" s="3">
        <v>8061.41</v>
      </c>
      <c r="O464" t="s">
        <v>22</v>
      </c>
    </row>
    <row r="465" spans="1:15" x14ac:dyDescent="0.2">
      <c r="A465" t="s">
        <v>759</v>
      </c>
      <c r="B465" t="s">
        <v>760</v>
      </c>
      <c r="C465">
        <v>25</v>
      </c>
      <c r="D465" t="s">
        <v>51</v>
      </c>
      <c r="E465" t="s">
        <v>26</v>
      </c>
      <c r="F465" t="s">
        <v>18</v>
      </c>
      <c r="G465" s="2">
        <v>46053</v>
      </c>
      <c r="H465" t="s">
        <v>33</v>
      </c>
      <c r="I465" s="3">
        <v>1616851</v>
      </c>
      <c r="J465">
        <v>794</v>
      </c>
      <c r="K465" t="s">
        <v>29</v>
      </c>
      <c r="L465" t="s">
        <v>38</v>
      </c>
      <c r="M465">
        <v>59</v>
      </c>
      <c r="N465" s="3">
        <v>5465.86</v>
      </c>
      <c r="O465" t="s">
        <v>22</v>
      </c>
    </row>
    <row r="466" spans="1:15" x14ac:dyDescent="0.2">
      <c r="A466" t="s">
        <v>761</v>
      </c>
      <c r="B466" t="s">
        <v>596</v>
      </c>
      <c r="C466">
        <v>37</v>
      </c>
      <c r="D466" t="s">
        <v>16</v>
      </c>
      <c r="E466" t="s">
        <v>26</v>
      </c>
      <c r="F466" t="s">
        <v>18</v>
      </c>
      <c r="G466" s="2">
        <v>45682</v>
      </c>
      <c r="H466" t="s">
        <v>44</v>
      </c>
      <c r="I466" s="3">
        <v>2829082</v>
      </c>
      <c r="J466">
        <v>671</v>
      </c>
      <c r="K466" t="s">
        <v>86</v>
      </c>
      <c r="L466" t="s">
        <v>21</v>
      </c>
      <c r="M466">
        <v>2</v>
      </c>
      <c r="N466" s="3">
        <v>10032.700000000001</v>
      </c>
      <c r="O466" t="s">
        <v>22</v>
      </c>
    </row>
    <row r="467" spans="1:15" x14ac:dyDescent="0.2">
      <c r="A467" t="s">
        <v>762</v>
      </c>
      <c r="B467" t="s">
        <v>763</v>
      </c>
      <c r="C467">
        <v>40</v>
      </c>
      <c r="D467" t="s">
        <v>55</v>
      </c>
      <c r="E467" t="s">
        <v>26</v>
      </c>
      <c r="F467" t="s">
        <v>27</v>
      </c>
      <c r="G467" s="2">
        <v>46126</v>
      </c>
      <c r="H467" t="s">
        <v>28</v>
      </c>
      <c r="I467" s="3">
        <v>2376028</v>
      </c>
      <c r="J467">
        <v>814</v>
      </c>
      <c r="K467" t="s">
        <v>78</v>
      </c>
      <c r="L467" t="s">
        <v>30</v>
      </c>
      <c r="M467">
        <v>15</v>
      </c>
      <c r="N467" s="3">
        <v>40012</v>
      </c>
      <c r="O467" t="s">
        <v>22</v>
      </c>
    </row>
    <row r="468" spans="1:15" x14ac:dyDescent="0.2">
      <c r="A468" t="s">
        <v>764</v>
      </c>
      <c r="B468" t="s">
        <v>748</v>
      </c>
      <c r="C468">
        <v>61</v>
      </c>
      <c r="D468" t="s">
        <v>75</v>
      </c>
      <c r="E468" t="s">
        <v>56</v>
      </c>
      <c r="F468" t="s">
        <v>27</v>
      </c>
      <c r="G468" s="2">
        <v>46141</v>
      </c>
      <c r="H468" t="s">
        <v>28</v>
      </c>
      <c r="I468" s="3">
        <v>3235032</v>
      </c>
      <c r="J468">
        <v>763</v>
      </c>
      <c r="K468" t="s">
        <v>78</v>
      </c>
      <c r="L468" t="s">
        <v>38</v>
      </c>
      <c r="M468">
        <v>103</v>
      </c>
      <c r="N468" s="3">
        <v>3458.49</v>
      </c>
      <c r="O468" t="s">
        <v>22</v>
      </c>
    </row>
    <row r="469" spans="1:15" x14ac:dyDescent="0.2">
      <c r="A469" t="s">
        <v>765</v>
      </c>
      <c r="B469" t="s">
        <v>130</v>
      </c>
      <c r="C469">
        <v>66</v>
      </c>
      <c r="D469" t="s">
        <v>89</v>
      </c>
      <c r="E469" t="s">
        <v>83</v>
      </c>
      <c r="F469" t="s">
        <v>27</v>
      </c>
      <c r="G469" s="2">
        <v>46222</v>
      </c>
      <c r="H469" t="s">
        <v>52</v>
      </c>
      <c r="I469" s="3">
        <v>3327195</v>
      </c>
      <c r="J469">
        <v>617</v>
      </c>
      <c r="K469" t="s">
        <v>78</v>
      </c>
      <c r="L469" t="s">
        <v>30</v>
      </c>
      <c r="M469">
        <v>105</v>
      </c>
      <c r="N469" s="3">
        <v>10078.709999999999</v>
      </c>
      <c r="O469" t="s">
        <v>22</v>
      </c>
    </row>
    <row r="470" spans="1:15" x14ac:dyDescent="0.2">
      <c r="A470" t="s">
        <v>766</v>
      </c>
      <c r="B470" t="s">
        <v>342</v>
      </c>
      <c r="C470">
        <v>32</v>
      </c>
      <c r="D470" t="s">
        <v>128</v>
      </c>
      <c r="E470" t="s">
        <v>26</v>
      </c>
      <c r="F470" t="s">
        <v>18</v>
      </c>
      <c r="G470" s="2">
        <v>45808</v>
      </c>
      <c r="H470" t="s">
        <v>33</v>
      </c>
      <c r="I470" s="3">
        <v>2576344</v>
      </c>
      <c r="J470">
        <v>718</v>
      </c>
      <c r="K470" t="s">
        <v>57</v>
      </c>
      <c r="L470" t="s">
        <v>38</v>
      </c>
      <c r="M470">
        <v>37</v>
      </c>
      <c r="N470" s="3">
        <v>13502.33</v>
      </c>
      <c r="O470" t="s">
        <v>22</v>
      </c>
    </row>
    <row r="471" spans="1:15" x14ac:dyDescent="0.2">
      <c r="A471" t="s">
        <v>767</v>
      </c>
      <c r="B471" t="s">
        <v>169</v>
      </c>
      <c r="C471">
        <v>26</v>
      </c>
      <c r="D471" t="s">
        <v>48</v>
      </c>
      <c r="E471" t="s">
        <v>26</v>
      </c>
      <c r="F471" t="s">
        <v>27</v>
      </c>
      <c r="G471" s="2">
        <v>45801</v>
      </c>
      <c r="H471" t="s">
        <v>28</v>
      </c>
      <c r="I471" s="3">
        <v>3707100</v>
      </c>
      <c r="J471">
        <v>774</v>
      </c>
      <c r="K471" t="s">
        <v>67</v>
      </c>
      <c r="L471" t="s">
        <v>38</v>
      </c>
      <c r="M471">
        <v>71</v>
      </c>
      <c r="N471" s="3">
        <v>3816.36</v>
      </c>
      <c r="O471" t="s">
        <v>22</v>
      </c>
    </row>
    <row r="472" spans="1:15" x14ac:dyDescent="0.2">
      <c r="A472" t="s">
        <v>768</v>
      </c>
      <c r="B472" t="s">
        <v>132</v>
      </c>
      <c r="C472">
        <v>37</v>
      </c>
      <c r="D472" t="s">
        <v>89</v>
      </c>
      <c r="E472" t="s">
        <v>56</v>
      </c>
      <c r="F472" t="s">
        <v>18</v>
      </c>
      <c r="G472" s="2">
        <v>46226</v>
      </c>
      <c r="H472" t="s">
        <v>33</v>
      </c>
      <c r="I472" s="3">
        <v>2599465</v>
      </c>
      <c r="J472">
        <v>594</v>
      </c>
      <c r="K472" t="s">
        <v>86</v>
      </c>
      <c r="L472" t="s">
        <v>58</v>
      </c>
      <c r="M472">
        <v>20</v>
      </c>
      <c r="N472" s="3">
        <v>8417.2099999999991</v>
      </c>
      <c r="O472" t="s">
        <v>39</v>
      </c>
    </row>
    <row r="473" spans="1:15" x14ac:dyDescent="0.2">
      <c r="A473" t="s">
        <v>769</v>
      </c>
      <c r="B473" t="s">
        <v>622</v>
      </c>
      <c r="C473">
        <v>39</v>
      </c>
      <c r="D473" t="s">
        <v>55</v>
      </c>
      <c r="E473" t="s">
        <v>83</v>
      </c>
      <c r="F473" t="s">
        <v>27</v>
      </c>
      <c r="G473" s="2">
        <v>45696</v>
      </c>
      <c r="H473" t="s">
        <v>28</v>
      </c>
      <c r="I473" s="3">
        <v>1326837</v>
      </c>
      <c r="J473">
        <v>836</v>
      </c>
      <c r="K473" t="s">
        <v>67</v>
      </c>
      <c r="L473" t="s">
        <v>45</v>
      </c>
      <c r="M473">
        <v>98</v>
      </c>
      <c r="N473" s="3">
        <v>62561.61</v>
      </c>
      <c r="O473" t="s">
        <v>22</v>
      </c>
    </row>
    <row r="474" spans="1:15" x14ac:dyDescent="0.2">
      <c r="A474" t="s">
        <v>770</v>
      </c>
      <c r="B474" t="s">
        <v>771</v>
      </c>
      <c r="C474">
        <v>46</v>
      </c>
      <c r="D474" t="s">
        <v>128</v>
      </c>
      <c r="E474" t="s">
        <v>26</v>
      </c>
      <c r="F474" t="s">
        <v>43</v>
      </c>
      <c r="G474" s="2">
        <v>45766</v>
      </c>
      <c r="H474" t="s">
        <v>28</v>
      </c>
      <c r="I474" s="3">
        <v>3349449</v>
      </c>
      <c r="J474">
        <v>714</v>
      </c>
      <c r="K474" t="s">
        <v>34</v>
      </c>
      <c r="L474" t="s">
        <v>45</v>
      </c>
      <c r="M474">
        <v>35</v>
      </c>
      <c r="N474" s="3">
        <v>1398.4</v>
      </c>
      <c r="O474" t="s">
        <v>22</v>
      </c>
    </row>
    <row r="475" spans="1:15" x14ac:dyDescent="0.2">
      <c r="A475" t="s">
        <v>772</v>
      </c>
      <c r="B475" t="s">
        <v>433</v>
      </c>
      <c r="C475">
        <v>68</v>
      </c>
      <c r="D475" t="s">
        <v>42</v>
      </c>
      <c r="E475" t="s">
        <v>26</v>
      </c>
      <c r="F475" t="s">
        <v>27</v>
      </c>
      <c r="G475" s="2">
        <v>45699</v>
      </c>
      <c r="H475" t="s">
        <v>52</v>
      </c>
      <c r="I475" s="3">
        <v>3360999</v>
      </c>
      <c r="J475">
        <v>580</v>
      </c>
      <c r="K475" t="s">
        <v>78</v>
      </c>
      <c r="L475" t="s">
        <v>30</v>
      </c>
      <c r="M475">
        <v>34</v>
      </c>
      <c r="N475" s="3">
        <v>5754.51</v>
      </c>
      <c r="O475" t="s">
        <v>22</v>
      </c>
    </row>
    <row r="476" spans="1:15" x14ac:dyDescent="0.2">
      <c r="A476" t="s">
        <v>773</v>
      </c>
      <c r="B476" t="s">
        <v>611</v>
      </c>
      <c r="C476">
        <v>64</v>
      </c>
      <c r="D476" t="s">
        <v>48</v>
      </c>
      <c r="E476" t="s">
        <v>26</v>
      </c>
      <c r="F476" t="s">
        <v>18</v>
      </c>
      <c r="G476" s="2">
        <v>45843</v>
      </c>
      <c r="H476" t="s">
        <v>52</v>
      </c>
      <c r="I476" s="3">
        <v>1787746</v>
      </c>
      <c r="J476">
        <v>628</v>
      </c>
      <c r="K476" t="s">
        <v>29</v>
      </c>
      <c r="L476" t="s">
        <v>45</v>
      </c>
      <c r="M476">
        <v>117</v>
      </c>
      <c r="N476" s="3">
        <v>11650.3</v>
      </c>
      <c r="O476" t="s">
        <v>22</v>
      </c>
    </row>
    <row r="477" spans="1:15" x14ac:dyDescent="0.2">
      <c r="A477" t="s">
        <v>774</v>
      </c>
      <c r="B477" t="s">
        <v>565</v>
      </c>
      <c r="C477">
        <v>64</v>
      </c>
      <c r="D477" t="s">
        <v>70</v>
      </c>
      <c r="E477" t="s">
        <v>17</v>
      </c>
      <c r="F477" t="s">
        <v>43</v>
      </c>
      <c r="G477" s="2">
        <v>46055</v>
      </c>
      <c r="H477" t="s">
        <v>28</v>
      </c>
      <c r="I477" s="3">
        <v>1879040</v>
      </c>
      <c r="J477">
        <v>675</v>
      </c>
      <c r="K477" t="s">
        <v>57</v>
      </c>
      <c r="M477">
        <v>86</v>
      </c>
      <c r="N477" s="3">
        <v>6034.57</v>
      </c>
      <c r="O477" t="s">
        <v>22</v>
      </c>
    </row>
    <row r="478" spans="1:15" x14ac:dyDescent="0.2">
      <c r="A478" t="s">
        <v>775</v>
      </c>
      <c r="B478" t="s">
        <v>309</v>
      </c>
      <c r="C478">
        <v>52</v>
      </c>
      <c r="D478" t="s">
        <v>16</v>
      </c>
      <c r="E478" t="s">
        <v>26</v>
      </c>
      <c r="F478" t="s">
        <v>27</v>
      </c>
      <c r="G478" s="2">
        <v>45880</v>
      </c>
      <c r="H478" t="s">
        <v>19</v>
      </c>
      <c r="I478" s="3">
        <v>2661596</v>
      </c>
      <c r="J478">
        <v>780</v>
      </c>
      <c r="K478" t="s">
        <v>29</v>
      </c>
      <c r="L478" t="s">
        <v>38</v>
      </c>
      <c r="M478">
        <v>31</v>
      </c>
      <c r="N478" s="3">
        <v>185453.57</v>
      </c>
      <c r="O478" t="s">
        <v>22</v>
      </c>
    </row>
    <row r="479" spans="1:15" x14ac:dyDescent="0.2">
      <c r="A479" t="s">
        <v>776</v>
      </c>
      <c r="B479" t="s">
        <v>718</v>
      </c>
      <c r="C479">
        <v>26</v>
      </c>
      <c r="D479" t="s">
        <v>75</v>
      </c>
      <c r="E479" t="s">
        <v>26</v>
      </c>
      <c r="F479" t="s">
        <v>27</v>
      </c>
      <c r="G479" s="2">
        <v>45790</v>
      </c>
      <c r="H479" t="s">
        <v>28</v>
      </c>
      <c r="I479" s="3">
        <v>2489564</v>
      </c>
      <c r="J479">
        <v>605</v>
      </c>
      <c r="K479" t="s">
        <v>86</v>
      </c>
      <c r="L479" t="s">
        <v>58</v>
      </c>
      <c r="M479">
        <v>87</v>
      </c>
      <c r="N479" s="3">
        <v>15932.64</v>
      </c>
      <c r="O479" t="s">
        <v>22</v>
      </c>
    </row>
    <row r="480" spans="1:15" x14ac:dyDescent="0.2">
      <c r="A480" t="s">
        <v>777</v>
      </c>
      <c r="B480" t="s">
        <v>778</v>
      </c>
      <c r="C480">
        <v>56</v>
      </c>
      <c r="D480" t="s">
        <v>70</v>
      </c>
      <c r="E480" t="s">
        <v>17</v>
      </c>
      <c r="F480" t="s">
        <v>18</v>
      </c>
      <c r="G480" s="2">
        <v>45820</v>
      </c>
      <c r="H480" t="s">
        <v>52</v>
      </c>
      <c r="I480" s="3">
        <v>3913289</v>
      </c>
      <c r="J480">
        <v>814</v>
      </c>
      <c r="K480" t="s">
        <v>20</v>
      </c>
      <c r="L480" t="s">
        <v>58</v>
      </c>
      <c r="M480">
        <v>19</v>
      </c>
      <c r="N480" s="3">
        <v>2991.15</v>
      </c>
      <c r="O480" t="s">
        <v>22</v>
      </c>
    </row>
    <row r="481" spans="1:15" x14ac:dyDescent="0.2">
      <c r="A481" t="s">
        <v>779</v>
      </c>
      <c r="B481" t="s">
        <v>780</v>
      </c>
      <c r="C481">
        <v>58</v>
      </c>
      <c r="D481" t="s">
        <v>16</v>
      </c>
      <c r="E481" t="s">
        <v>26</v>
      </c>
      <c r="F481" t="s">
        <v>43</v>
      </c>
      <c r="G481" s="2">
        <v>45872</v>
      </c>
      <c r="H481" t="s">
        <v>28</v>
      </c>
      <c r="I481" s="3">
        <v>4438699</v>
      </c>
      <c r="J481">
        <v>823</v>
      </c>
      <c r="K481" t="s">
        <v>29</v>
      </c>
      <c r="L481" t="s">
        <v>38</v>
      </c>
      <c r="M481">
        <v>68</v>
      </c>
      <c r="N481" s="3">
        <v>770.01</v>
      </c>
      <c r="O481" t="s">
        <v>22</v>
      </c>
    </row>
    <row r="482" spans="1:15" x14ac:dyDescent="0.2">
      <c r="A482" t="s">
        <v>781</v>
      </c>
      <c r="B482" t="s">
        <v>344</v>
      </c>
      <c r="C482">
        <v>31</v>
      </c>
      <c r="D482" t="s">
        <v>105</v>
      </c>
      <c r="E482" t="s">
        <v>56</v>
      </c>
      <c r="F482" t="s">
        <v>27</v>
      </c>
      <c r="G482" s="2">
        <v>45892</v>
      </c>
      <c r="H482" t="s">
        <v>44</v>
      </c>
      <c r="I482" s="3">
        <v>3166596</v>
      </c>
      <c r="J482">
        <v>630</v>
      </c>
      <c r="K482" t="s">
        <v>20</v>
      </c>
      <c r="M482">
        <v>24</v>
      </c>
      <c r="N482" s="3">
        <v>12801.14</v>
      </c>
      <c r="O482" t="s">
        <v>39</v>
      </c>
    </row>
    <row r="483" spans="1:15" x14ac:dyDescent="0.2">
      <c r="A483" t="s">
        <v>782</v>
      </c>
      <c r="B483" t="s">
        <v>287</v>
      </c>
      <c r="C483">
        <v>53</v>
      </c>
      <c r="D483" t="s">
        <v>51</v>
      </c>
      <c r="E483" t="s">
        <v>26</v>
      </c>
      <c r="F483" t="s">
        <v>100</v>
      </c>
      <c r="G483" s="2">
        <v>46245</v>
      </c>
      <c r="H483" t="s">
        <v>44</v>
      </c>
      <c r="I483" s="3">
        <v>4377436</v>
      </c>
      <c r="J483">
        <v>660</v>
      </c>
      <c r="K483" t="s">
        <v>57</v>
      </c>
      <c r="L483" t="s">
        <v>21</v>
      </c>
      <c r="M483">
        <v>84</v>
      </c>
      <c r="N483" s="3">
        <v>4050.52</v>
      </c>
      <c r="O483" t="s">
        <v>335</v>
      </c>
    </row>
    <row r="484" spans="1:15" x14ac:dyDescent="0.2">
      <c r="A484" t="s">
        <v>783</v>
      </c>
      <c r="B484" t="s">
        <v>380</v>
      </c>
      <c r="C484">
        <v>44</v>
      </c>
      <c r="D484" t="s">
        <v>128</v>
      </c>
      <c r="E484" t="s">
        <v>26</v>
      </c>
      <c r="F484" t="s">
        <v>18</v>
      </c>
      <c r="G484" s="2">
        <v>45666</v>
      </c>
      <c r="H484" t="s">
        <v>28</v>
      </c>
      <c r="I484" s="3">
        <v>2715933</v>
      </c>
      <c r="J484">
        <v>615</v>
      </c>
      <c r="K484" t="s">
        <v>29</v>
      </c>
      <c r="L484" t="s">
        <v>45</v>
      </c>
      <c r="M484">
        <v>39</v>
      </c>
      <c r="N484" s="3">
        <v>34660.06</v>
      </c>
      <c r="O484" t="s">
        <v>22</v>
      </c>
    </row>
    <row r="485" spans="1:15" x14ac:dyDescent="0.2">
      <c r="A485" t="s">
        <v>784</v>
      </c>
      <c r="B485" t="s">
        <v>785</v>
      </c>
      <c r="C485">
        <v>43</v>
      </c>
      <c r="D485" t="s">
        <v>70</v>
      </c>
      <c r="E485" t="s">
        <v>17</v>
      </c>
      <c r="F485" t="s">
        <v>100</v>
      </c>
      <c r="G485" s="2">
        <v>45731</v>
      </c>
      <c r="H485" t="s">
        <v>44</v>
      </c>
      <c r="I485" s="3">
        <v>3712511</v>
      </c>
      <c r="J485">
        <v>646</v>
      </c>
      <c r="K485" t="s">
        <v>29</v>
      </c>
      <c r="L485" t="s">
        <v>30</v>
      </c>
      <c r="M485">
        <v>92</v>
      </c>
      <c r="N485" s="3">
        <v>6710.25</v>
      </c>
      <c r="O485" t="s">
        <v>22</v>
      </c>
    </row>
    <row r="486" spans="1:15" x14ac:dyDescent="0.2">
      <c r="A486" t="s">
        <v>786</v>
      </c>
      <c r="B486" t="s">
        <v>787</v>
      </c>
      <c r="C486">
        <v>35</v>
      </c>
      <c r="D486" t="s">
        <v>16</v>
      </c>
      <c r="E486" t="s">
        <v>26</v>
      </c>
      <c r="F486" t="s">
        <v>27</v>
      </c>
      <c r="G486" s="2">
        <v>46149</v>
      </c>
      <c r="H486" t="s">
        <v>44</v>
      </c>
      <c r="I486" s="3">
        <v>634083</v>
      </c>
      <c r="J486">
        <v>708</v>
      </c>
      <c r="K486" t="s">
        <v>92</v>
      </c>
      <c r="L486" t="s">
        <v>58</v>
      </c>
      <c r="M486">
        <v>54</v>
      </c>
      <c r="N486" s="3">
        <v>4930.67</v>
      </c>
      <c r="O486" t="s">
        <v>22</v>
      </c>
    </row>
    <row r="487" spans="1:15" x14ac:dyDescent="0.2">
      <c r="A487" t="s">
        <v>788</v>
      </c>
      <c r="B487" t="s">
        <v>527</v>
      </c>
      <c r="C487">
        <v>47</v>
      </c>
      <c r="D487" t="s">
        <v>89</v>
      </c>
      <c r="E487" t="s">
        <v>83</v>
      </c>
      <c r="F487" t="s">
        <v>27</v>
      </c>
      <c r="G487" s="2">
        <v>45910</v>
      </c>
      <c r="H487" t="s">
        <v>52</v>
      </c>
      <c r="I487" s="3">
        <v>781598</v>
      </c>
      <c r="J487">
        <v>734</v>
      </c>
      <c r="K487" t="s">
        <v>57</v>
      </c>
      <c r="L487" t="s">
        <v>45</v>
      </c>
      <c r="M487">
        <v>39</v>
      </c>
      <c r="N487" s="3">
        <v>4843.97</v>
      </c>
      <c r="O487" t="s">
        <v>22</v>
      </c>
    </row>
    <row r="488" spans="1:15" x14ac:dyDescent="0.2">
      <c r="A488" t="s">
        <v>789</v>
      </c>
      <c r="B488" t="s">
        <v>439</v>
      </c>
      <c r="C488">
        <v>31</v>
      </c>
      <c r="D488" t="s">
        <v>51</v>
      </c>
      <c r="E488" t="s">
        <v>17</v>
      </c>
      <c r="F488" t="s">
        <v>100</v>
      </c>
      <c r="G488" s="2">
        <v>45887</v>
      </c>
      <c r="H488" t="s">
        <v>28</v>
      </c>
      <c r="I488" s="3">
        <v>2528845</v>
      </c>
      <c r="J488">
        <v>824</v>
      </c>
      <c r="K488" t="s">
        <v>57</v>
      </c>
      <c r="L488" t="s">
        <v>38</v>
      </c>
      <c r="M488">
        <v>17</v>
      </c>
      <c r="N488" s="3">
        <v>25231.15</v>
      </c>
      <c r="O488" t="s">
        <v>22</v>
      </c>
    </row>
    <row r="489" spans="1:15" x14ac:dyDescent="0.2">
      <c r="A489" t="s">
        <v>790</v>
      </c>
      <c r="B489" t="s">
        <v>791</v>
      </c>
      <c r="C489">
        <v>70</v>
      </c>
      <c r="D489" t="s">
        <v>16</v>
      </c>
      <c r="E489" t="s">
        <v>26</v>
      </c>
      <c r="F489" t="s">
        <v>43</v>
      </c>
      <c r="G489" s="2">
        <v>46176</v>
      </c>
      <c r="H489" t="s">
        <v>52</v>
      </c>
      <c r="I489" s="3">
        <v>916252</v>
      </c>
      <c r="J489">
        <v>690</v>
      </c>
      <c r="K489" t="s">
        <v>78</v>
      </c>
      <c r="L489" t="s">
        <v>58</v>
      </c>
      <c r="M489">
        <v>19</v>
      </c>
      <c r="N489" s="3">
        <v>13854.46</v>
      </c>
      <c r="O489" t="s">
        <v>22</v>
      </c>
    </row>
    <row r="490" spans="1:15" x14ac:dyDescent="0.2">
      <c r="A490" t="s">
        <v>792</v>
      </c>
      <c r="B490" t="s">
        <v>102</v>
      </c>
      <c r="C490">
        <v>37</v>
      </c>
      <c r="D490" t="s">
        <v>25</v>
      </c>
      <c r="E490" t="s">
        <v>56</v>
      </c>
      <c r="F490" t="s">
        <v>18</v>
      </c>
      <c r="G490" s="2">
        <v>45831</v>
      </c>
      <c r="H490" t="s">
        <v>44</v>
      </c>
      <c r="I490" s="3">
        <v>3300798</v>
      </c>
      <c r="J490">
        <v>747</v>
      </c>
      <c r="K490" t="s">
        <v>86</v>
      </c>
      <c r="L490" t="s">
        <v>30</v>
      </c>
      <c r="M490">
        <v>118</v>
      </c>
      <c r="N490" s="3">
        <v>56599.45</v>
      </c>
      <c r="O490" t="s">
        <v>22</v>
      </c>
    </row>
    <row r="491" spans="1:15" x14ac:dyDescent="0.2">
      <c r="A491" t="s">
        <v>793</v>
      </c>
      <c r="B491" t="s">
        <v>590</v>
      </c>
      <c r="C491">
        <v>34</v>
      </c>
      <c r="D491" t="s">
        <v>105</v>
      </c>
      <c r="E491" t="s">
        <v>26</v>
      </c>
      <c r="F491" t="s">
        <v>27</v>
      </c>
      <c r="G491" s="2">
        <v>45825</v>
      </c>
      <c r="H491" t="s">
        <v>28</v>
      </c>
      <c r="I491" s="3">
        <v>2786047</v>
      </c>
      <c r="J491">
        <v>721</v>
      </c>
      <c r="K491" t="s">
        <v>29</v>
      </c>
      <c r="L491" t="s">
        <v>30</v>
      </c>
      <c r="M491">
        <v>48</v>
      </c>
      <c r="N491" s="3">
        <v>7144.78</v>
      </c>
      <c r="O491" t="s">
        <v>22</v>
      </c>
    </row>
    <row r="492" spans="1:15" x14ac:dyDescent="0.2">
      <c r="A492" t="s">
        <v>794</v>
      </c>
      <c r="B492" t="s">
        <v>795</v>
      </c>
      <c r="C492">
        <v>47</v>
      </c>
      <c r="D492" t="s">
        <v>55</v>
      </c>
      <c r="E492" t="s">
        <v>56</v>
      </c>
      <c r="F492" t="s">
        <v>27</v>
      </c>
      <c r="G492" s="2">
        <v>45827</v>
      </c>
      <c r="H492" t="s">
        <v>19</v>
      </c>
      <c r="I492" s="3">
        <v>3574353</v>
      </c>
      <c r="J492">
        <v>776</v>
      </c>
      <c r="K492" t="s">
        <v>67</v>
      </c>
      <c r="L492" t="s">
        <v>21</v>
      </c>
      <c r="M492">
        <v>35</v>
      </c>
      <c r="N492" s="3">
        <v>22145.58</v>
      </c>
      <c r="O492" t="s">
        <v>22</v>
      </c>
    </row>
    <row r="493" spans="1:15" x14ac:dyDescent="0.2">
      <c r="A493" t="s">
        <v>796</v>
      </c>
      <c r="B493" t="s">
        <v>760</v>
      </c>
      <c r="C493">
        <v>38</v>
      </c>
      <c r="D493" t="s">
        <v>70</v>
      </c>
      <c r="E493" t="s">
        <v>26</v>
      </c>
      <c r="F493" t="s">
        <v>27</v>
      </c>
      <c r="G493" s="2">
        <v>46050</v>
      </c>
      <c r="H493" t="s">
        <v>28</v>
      </c>
      <c r="I493" s="3">
        <v>3504992</v>
      </c>
      <c r="J493">
        <v>688</v>
      </c>
      <c r="K493" t="s">
        <v>29</v>
      </c>
      <c r="L493" t="s">
        <v>45</v>
      </c>
      <c r="M493">
        <v>32</v>
      </c>
      <c r="N493" s="3">
        <v>22546.720000000001</v>
      </c>
      <c r="O493" t="s">
        <v>22</v>
      </c>
    </row>
    <row r="494" spans="1:15" x14ac:dyDescent="0.2">
      <c r="A494" t="s">
        <v>797</v>
      </c>
      <c r="B494" t="s">
        <v>561</v>
      </c>
      <c r="C494">
        <v>48</v>
      </c>
      <c r="D494" t="s">
        <v>75</v>
      </c>
      <c r="E494" t="s">
        <v>17</v>
      </c>
      <c r="F494" t="s">
        <v>27</v>
      </c>
      <c r="G494" s="2">
        <v>45851</v>
      </c>
      <c r="H494" t="s">
        <v>28</v>
      </c>
      <c r="I494" s="3">
        <v>946362</v>
      </c>
      <c r="J494">
        <v>658</v>
      </c>
      <c r="K494" t="s">
        <v>34</v>
      </c>
      <c r="L494" t="s">
        <v>38</v>
      </c>
      <c r="M494">
        <v>47</v>
      </c>
      <c r="N494" s="3">
        <v>18169.580000000002</v>
      </c>
      <c r="O494" t="s">
        <v>22</v>
      </c>
    </row>
    <row r="495" spans="1:15" x14ac:dyDescent="0.2">
      <c r="A495" t="s">
        <v>798</v>
      </c>
      <c r="B495" t="s">
        <v>425</v>
      </c>
      <c r="C495">
        <v>67</v>
      </c>
      <c r="D495" t="s">
        <v>105</v>
      </c>
      <c r="E495" t="s">
        <v>26</v>
      </c>
      <c r="F495" t="s">
        <v>27</v>
      </c>
      <c r="G495" s="2">
        <v>46174</v>
      </c>
      <c r="H495" t="s">
        <v>33</v>
      </c>
      <c r="I495" s="3">
        <v>3785443</v>
      </c>
      <c r="J495">
        <v>740</v>
      </c>
      <c r="K495" t="s">
        <v>57</v>
      </c>
      <c r="L495" t="s">
        <v>58</v>
      </c>
      <c r="M495">
        <v>110</v>
      </c>
      <c r="N495" s="3">
        <v>5243</v>
      </c>
      <c r="O495" t="s">
        <v>22</v>
      </c>
    </row>
    <row r="496" spans="1:15" x14ac:dyDescent="0.2">
      <c r="A496" t="s">
        <v>799</v>
      </c>
      <c r="B496" t="s">
        <v>800</v>
      </c>
      <c r="C496">
        <v>67</v>
      </c>
      <c r="D496" t="s">
        <v>51</v>
      </c>
      <c r="E496" t="s">
        <v>26</v>
      </c>
      <c r="F496" t="s">
        <v>27</v>
      </c>
      <c r="G496" s="2">
        <v>45686</v>
      </c>
      <c r="H496" t="s">
        <v>33</v>
      </c>
      <c r="I496" s="3">
        <v>2182303</v>
      </c>
      <c r="J496">
        <v>598</v>
      </c>
      <c r="K496" t="s">
        <v>67</v>
      </c>
      <c r="L496" t="s">
        <v>30</v>
      </c>
      <c r="M496">
        <v>47</v>
      </c>
      <c r="N496" s="3">
        <v>14721.71</v>
      </c>
      <c r="O496" t="s">
        <v>22</v>
      </c>
    </row>
    <row r="497" spans="1:15" x14ac:dyDescent="0.2">
      <c r="A497" t="s">
        <v>801</v>
      </c>
      <c r="B497" t="s">
        <v>802</v>
      </c>
      <c r="C497">
        <v>24</v>
      </c>
      <c r="D497" t="s">
        <v>25</v>
      </c>
      <c r="E497" t="s">
        <v>56</v>
      </c>
      <c r="F497" t="s">
        <v>100</v>
      </c>
      <c r="G497" s="2">
        <v>45822</v>
      </c>
      <c r="H497" t="s">
        <v>33</v>
      </c>
      <c r="I497" s="3">
        <v>3001821</v>
      </c>
      <c r="J497">
        <v>706</v>
      </c>
      <c r="K497" t="s">
        <v>57</v>
      </c>
      <c r="L497" t="s">
        <v>58</v>
      </c>
      <c r="M497">
        <v>64</v>
      </c>
      <c r="N497" s="3">
        <v>8086.05</v>
      </c>
      <c r="O497" t="s">
        <v>39</v>
      </c>
    </row>
    <row r="498" spans="1:15" x14ac:dyDescent="0.2">
      <c r="A498" t="s">
        <v>803</v>
      </c>
      <c r="B498" t="s">
        <v>369</v>
      </c>
      <c r="C498">
        <v>27</v>
      </c>
      <c r="D498" t="s">
        <v>128</v>
      </c>
      <c r="E498" t="s">
        <v>56</v>
      </c>
      <c r="F498" t="s">
        <v>27</v>
      </c>
      <c r="G498" s="2">
        <v>46079</v>
      </c>
      <c r="H498" t="s">
        <v>28</v>
      </c>
      <c r="I498" s="3">
        <v>676941</v>
      </c>
      <c r="J498">
        <v>784</v>
      </c>
      <c r="K498" t="s">
        <v>86</v>
      </c>
      <c r="L498" t="s">
        <v>38</v>
      </c>
      <c r="M498">
        <v>46</v>
      </c>
      <c r="N498" s="3">
        <v>7866.02</v>
      </c>
      <c r="O498" t="s">
        <v>22</v>
      </c>
    </row>
    <row r="499" spans="1:15" x14ac:dyDescent="0.2">
      <c r="A499" t="s">
        <v>804</v>
      </c>
      <c r="B499" t="s">
        <v>338</v>
      </c>
      <c r="C499">
        <v>65</v>
      </c>
      <c r="D499" t="s">
        <v>89</v>
      </c>
      <c r="E499" t="s">
        <v>26</v>
      </c>
      <c r="F499" t="s">
        <v>18</v>
      </c>
      <c r="G499" s="2">
        <v>45996</v>
      </c>
      <c r="H499" t="s">
        <v>19</v>
      </c>
      <c r="I499" s="3">
        <v>4123770</v>
      </c>
      <c r="J499">
        <v>608</v>
      </c>
      <c r="K499" t="s">
        <v>57</v>
      </c>
      <c r="L499" t="s">
        <v>58</v>
      </c>
      <c r="M499">
        <v>103</v>
      </c>
      <c r="N499" s="3">
        <v>3842.58</v>
      </c>
      <c r="O499" t="s">
        <v>22</v>
      </c>
    </row>
    <row r="500" spans="1:15" x14ac:dyDescent="0.2">
      <c r="A500" t="s">
        <v>805</v>
      </c>
      <c r="B500" t="s">
        <v>427</v>
      </c>
      <c r="C500">
        <v>55</v>
      </c>
      <c r="D500" t="s">
        <v>75</v>
      </c>
      <c r="E500" t="s">
        <v>26</v>
      </c>
      <c r="F500" t="s">
        <v>18</v>
      </c>
      <c r="G500" s="2">
        <v>46153</v>
      </c>
      <c r="H500" t="s">
        <v>28</v>
      </c>
      <c r="I500" s="3">
        <v>636354</v>
      </c>
      <c r="J500">
        <v>786</v>
      </c>
      <c r="K500" t="s">
        <v>20</v>
      </c>
      <c r="L500" t="s">
        <v>45</v>
      </c>
      <c r="M500">
        <v>35</v>
      </c>
      <c r="N500" s="3">
        <v>966.46</v>
      </c>
      <c r="O500" t="s">
        <v>22</v>
      </c>
    </row>
    <row r="501" spans="1:15" x14ac:dyDescent="0.2">
      <c r="A501" t="s">
        <v>806</v>
      </c>
      <c r="B501" t="s">
        <v>807</v>
      </c>
      <c r="C501">
        <v>68</v>
      </c>
      <c r="D501" t="s">
        <v>70</v>
      </c>
      <c r="E501" t="s">
        <v>56</v>
      </c>
      <c r="F501" t="s">
        <v>43</v>
      </c>
      <c r="G501" s="2">
        <v>46022</v>
      </c>
      <c r="H501" t="s">
        <v>28</v>
      </c>
      <c r="I501" s="3">
        <v>3190149</v>
      </c>
      <c r="J501">
        <v>730</v>
      </c>
      <c r="K501" t="s">
        <v>20</v>
      </c>
      <c r="L501" t="s">
        <v>21</v>
      </c>
      <c r="M501">
        <v>94</v>
      </c>
      <c r="N501" s="3">
        <v>33216.269999999997</v>
      </c>
      <c r="O501" t="s">
        <v>22</v>
      </c>
    </row>
    <row r="502" spans="1:15" x14ac:dyDescent="0.2">
      <c r="A502" t="s">
        <v>808</v>
      </c>
      <c r="B502" t="s">
        <v>809</v>
      </c>
      <c r="C502">
        <v>29</v>
      </c>
      <c r="D502" t="s">
        <v>75</v>
      </c>
      <c r="E502" t="s">
        <v>83</v>
      </c>
      <c r="F502" t="s">
        <v>27</v>
      </c>
      <c r="G502" s="2">
        <v>45999</v>
      </c>
      <c r="H502" t="s">
        <v>28</v>
      </c>
      <c r="I502" s="3">
        <v>1185709</v>
      </c>
      <c r="J502">
        <v>819</v>
      </c>
      <c r="K502" t="s">
        <v>92</v>
      </c>
      <c r="L502" t="s">
        <v>58</v>
      </c>
      <c r="M502">
        <v>17</v>
      </c>
      <c r="N502" s="3">
        <v>14088.81</v>
      </c>
      <c r="O502" t="s">
        <v>22</v>
      </c>
    </row>
    <row r="503" spans="1:15" x14ac:dyDescent="0.2">
      <c r="A503" t="s">
        <v>810</v>
      </c>
      <c r="B503" t="s">
        <v>811</v>
      </c>
      <c r="C503">
        <v>28</v>
      </c>
      <c r="D503" t="s">
        <v>105</v>
      </c>
      <c r="E503" t="s">
        <v>26</v>
      </c>
      <c r="F503" t="s">
        <v>18</v>
      </c>
      <c r="G503" s="2">
        <v>46157</v>
      </c>
      <c r="H503" t="s">
        <v>33</v>
      </c>
      <c r="I503" s="3">
        <v>2735178</v>
      </c>
      <c r="J503">
        <v>845</v>
      </c>
      <c r="K503" t="s">
        <v>20</v>
      </c>
      <c r="L503" t="s">
        <v>21</v>
      </c>
      <c r="M503">
        <v>42</v>
      </c>
      <c r="N503" s="3">
        <v>2185.59</v>
      </c>
      <c r="O503" t="s">
        <v>22</v>
      </c>
    </row>
    <row r="504" spans="1:15" x14ac:dyDescent="0.2">
      <c r="A504" t="s">
        <v>812</v>
      </c>
      <c r="B504" t="s">
        <v>813</v>
      </c>
      <c r="C504">
        <v>65</v>
      </c>
      <c r="D504" t="s">
        <v>51</v>
      </c>
      <c r="E504" t="s">
        <v>26</v>
      </c>
      <c r="F504" t="s">
        <v>43</v>
      </c>
      <c r="G504" s="2">
        <v>46168</v>
      </c>
      <c r="H504" t="s">
        <v>44</v>
      </c>
      <c r="I504" s="3">
        <v>3503965</v>
      </c>
      <c r="J504">
        <v>761</v>
      </c>
      <c r="K504" t="s">
        <v>20</v>
      </c>
      <c r="L504" t="s">
        <v>38</v>
      </c>
      <c r="M504">
        <v>111</v>
      </c>
      <c r="N504" s="3">
        <v>19026.650000000001</v>
      </c>
      <c r="O504" t="s">
        <v>22</v>
      </c>
    </row>
    <row r="505" spans="1:15" x14ac:dyDescent="0.2">
      <c r="A505" t="s">
        <v>814</v>
      </c>
      <c r="B505" t="s">
        <v>815</v>
      </c>
      <c r="C505">
        <v>37</v>
      </c>
      <c r="D505" t="s">
        <v>128</v>
      </c>
      <c r="E505" t="s">
        <v>26</v>
      </c>
      <c r="F505" t="s">
        <v>18</v>
      </c>
      <c r="G505" s="2">
        <v>45984</v>
      </c>
      <c r="H505" t="s">
        <v>33</v>
      </c>
      <c r="I505" s="3">
        <v>2335469</v>
      </c>
      <c r="J505">
        <v>684</v>
      </c>
      <c r="K505" t="s">
        <v>86</v>
      </c>
      <c r="L505" t="s">
        <v>21</v>
      </c>
      <c r="M505">
        <v>29</v>
      </c>
      <c r="N505" s="3">
        <v>33912.61</v>
      </c>
      <c r="O505" t="s">
        <v>22</v>
      </c>
    </row>
    <row r="506" spans="1:15" x14ac:dyDescent="0.2">
      <c r="A506" t="s">
        <v>816</v>
      </c>
      <c r="B506" t="s">
        <v>588</v>
      </c>
      <c r="C506">
        <v>37</v>
      </c>
      <c r="D506" t="s">
        <v>42</v>
      </c>
      <c r="E506" t="s">
        <v>56</v>
      </c>
      <c r="F506" t="s">
        <v>18</v>
      </c>
      <c r="G506" s="2">
        <v>45874</v>
      </c>
      <c r="H506" t="s">
        <v>44</v>
      </c>
      <c r="I506" s="3">
        <v>3915632</v>
      </c>
      <c r="J506">
        <v>815</v>
      </c>
      <c r="K506" t="s">
        <v>29</v>
      </c>
      <c r="L506" t="s">
        <v>58</v>
      </c>
      <c r="M506">
        <v>70</v>
      </c>
      <c r="N506" s="3">
        <v>20262.98</v>
      </c>
      <c r="O506" t="s">
        <v>22</v>
      </c>
    </row>
    <row r="507" spans="1:15" x14ac:dyDescent="0.2">
      <c r="A507" t="s">
        <v>817</v>
      </c>
      <c r="B507" t="s">
        <v>514</v>
      </c>
      <c r="C507">
        <v>69</v>
      </c>
      <c r="D507" t="s">
        <v>25</v>
      </c>
      <c r="E507" t="s">
        <v>26</v>
      </c>
      <c r="F507" t="s">
        <v>100</v>
      </c>
      <c r="G507" s="2">
        <v>45958</v>
      </c>
      <c r="H507" t="s">
        <v>28</v>
      </c>
      <c r="I507" s="3">
        <v>3772348</v>
      </c>
      <c r="J507">
        <v>752</v>
      </c>
      <c r="K507" t="s">
        <v>20</v>
      </c>
      <c r="L507" t="s">
        <v>58</v>
      </c>
      <c r="M507">
        <v>17</v>
      </c>
      <c r="N507" s="3">
        <v>3511.43</v>
      </c>
      <c r="O507" t="s">
        <v>22</v>
      </c>
    </row>
    <row r="508" spans="1:15" x14ac:dyDescent="0.2">
      <c r="A508" t="s">
        <v>818</v>
      </c>
      <c r="B508" t="s">
        <v>36</v>
      </c>
      <c r="C508">
        <v>53</v>
      </c>
      <c r="D508" t="s">
        <v>70</v>
      </c>
      <c r="E508" t="s">
        <v>26</v>
      </c>
      <c r="F508" t="s">
        <v>43</v>
      </c>
      <c r="G508" s="2">
        <v>45789</v>
      </c>
      <c r="I508" s="3">
        <v>1596365</v>
      </c>
      <c r="J508">
        <v>737</v>
      </c>
      <c r="K508" t="s">
        <v>67</v>
      </c>
      <c r="L508" t="s">
        <v>30</v>
      </c>
      <c r="M508">
        <v>81</v>
      </c>
      <c r="N508" s="3">
        <v>4152.26</v>
      </c>
      <c r="O508" t="s">
        <v>22</v>
      </c>
    </row>
    <row r="509" spans="1:15" x14ac:dyDescent="0.2">
      <c r="A509" t="s">
        <v>819</v>
      </c>
      <c r="B509" t="s">
        <v>820</v>
      </c>
      <c r="C509">
        <v>52</v>
      </c>
      <c r="D509" t="s">
        <v>42</v>
      </c>
      <c r="E509" t="s">
        <v>56</v>
      </c>
      <c r="F509" t="s">
        <v>27</v>
      </c>
      <c r="G509" s="2">
        <v>45727</v>
      </c>
      <c r="H509" t="s">
        <v>28</v>
      </c>
      <c r="I509" s="3">
        <v>1386078</v>
      </c>
      <c r="J509">
        <v>751</v>
      </c>
      <c r="K509" t="s">
        <v>92</v>
      </c>
      <c r="L509" t="s">
        <v>58</v>
      </c>
      <c r="M509">
        <v>14</v>
      </c>
      <c r="N509" s="3">
        <v>5037.83</v>
      </c>
      <c r="O509" t="s">
        <v>22</v>
      </c>
    </row>
    <row r="510" spans="1:15" x14ac:dyDescent="0.2">
      <c r="A510" t="s">
        <v>821</v>
      </c>
      <c r="B510" t="s">
        <v>822</v>
      </c>
      <c r="C510">
        <v>28</v>
      </c>
      <c r="D510" t="s">
        <v>89</v>
      </c>
      <c r="E510" t="s">
        <v>26</v>
      </c>
      <c r="F510" t="s">
        <v>43</v>
      </c>
      <c r="G510" s="2">
        <v>45909</v>
      </c>
      <c r="H510" t="s">
        <v>28</v>
      </c>
      <c r="I510" s="3">
        <v>736598</v>
      </c>
      <c r="J510">
        <v>736</v>
      </c>
      <c r="K510" t="s">
        <v>57</v>
      </c>
      <c r="L510" t="s">
        <v>21</v>
      </c>
      <c r="M510">
        <v>24</v>
      </c>
      <c r="N510" s="3">
        <v>22117.82</v>
      </c>
      <c r="O510" t="s">
        <v>22</v>
      </c>
    </row>
    <row r="511" spans="1:15" x14ac:dyDescent="0.2">
      <c r="A511" t="s">
        <v>823</v>
      </c>
      <c r="B511" t="s">
        <v>91</v>
      </c>
      <c r="C511">
        <v>39</v>
      </c>
      <c r="D511" t="s">
        <v>128</v>
      </c>
      <c r="E511" t="s">
        <v>26</v>
      </c>
      <c r="F511" t="s">
        <v>27</v>
      </c>
      <c r="G511" s="2">
        <v>46072</v>
      </c>
      <c r="H511" t="s">
        <v>28</v>
      </c>
      <c r="I511" s="3">
        <v>783037</v>
      </c>
      <c r="J511">
        <v>837</v>
      </c>
      <c r="K511" t="s">
        <v>20</v>
      </c>
      <c r="L511" t="s">
        <v>30</v>
      </c>
      <c r="M511">
        <v>57</v>
      </c>
      <c r="N511" s="3">
        <v>14807.78</v>
      </c>
      <c r="O511" t="s">
        <v>22</v>
      </c>
    </row>
    <row r="512" spans="1:15" x14ac:dyDescent="0.2">
      <c r="A512" t="s">
        <v>824</v>
      </c>
      <c r="B512" t="s">
        <v>223</v>
      </c>
      <c r="C512">
        <v>58</v>
      </c>
      <c r="D512" t="s">
        <v>37</v>
      </c>
      <c r="E512" t="s">
        <v>26</v>
      </c>
      <c r="F512" t="s">
        <v>100</v>
      </c>
      <c r="G512" s="2">
        <v>46102</v>
      </c>
      <c r="H512" t="s">
        <v>33</v>
      </c>
      <c r="I512" s="3">
        <v>4081871</v>
      </c>
      <c r="J512">
        <v>743</v>
      </c>
      <c r="K512" t="s">
        <v>92</v>
      </c>
      <c r="L512" t="s">
        <v>58</v>
      </c>
      <c r="M512">
        <v>50</v>
      </c>
      <c r="N512" s="3">
        <v>167678.91</v>
      </c>
      <c r="O512" t="s">
        <v>22</v>
      </c>
    </row>
    <row r="513" spans="1:15" x14ac:dyDescent="0.2">
      <c r="A513" t="s">
        <v>825</v>
      </c>
      <c r="B513" t="s">
        <v>136</v>
      </c>
      <c r="C513">
        <v>23</v>
      </c>
      <c r="D513" t="s">
        <v>37</v>
      </c>
      <c r="E513" t="s">
        <v>26</v>
      </c>
      <c r="F513" t="s">
        <v>27</v>
      </c>
      <c r="G513" s="2">
        <v>45839</v>
      </c>
      <c r="H513" t="s">
        <v>28</v>
      </c>
      <c r="I513" s="3">
        <v>834933</v>
      </c>
      <c r="J513">
        <v>726</v>
      </c>
      <c r="K513" t="s">
        <v>86</v>
      </c>
      <c r="L513" t="s">
        <v>58</v>
      </c>
      <c r="M513">
        <v>57</v>
      </c>
      <c r="N513" s="3">
        <v>1598.9</v>
      </c>
      <c r="O513" t="s">
        <v>22</v>
      </c>
    </row>
    <row r="514" spans="1:15" x14ac:dyDescent="0.2">
      <c r="A514" t="s">
        <v>826</v>
      </c>
      <c r="B514" t="s">
        <v>800</v>
      </c>
      <c r="C514">
        <v>25</v>
      </c>
      <c r="D514" t="s">
        <v>128</v>
      </c>
      <c r="E514" t="s">
        <v>26</v>
      </c>
      <c r="F514" t="s">
        <v>27</v>
      </c>
      <c r="G514" s="2">
        <v>45824</v>
      </c>
      <c r="H514" t="s">
        <v>52</v>
      </c>
      <c r="I514" s="3">
        <v>463933</v>
      </c>
      <c r="J514">
        <v>733</v>
      </c>
      <c r="K514" t="s">
        <v>34</v>
      </c>
      <c r="L514" t="s">
        <v>38</v>
      </c>
      <c r="M514">
        <v>101</v>
      </c>
      <c r="N514" s="3">
        <v>8474.1200000000008</v>
      </c>
      <c r="O514" t="s">
        <v>22</v>
      </c>
    </row>
    <row r="515" spans="1:15" x14ac:dyDescent="0.2">
      <c r="A515" t="s">
        <v>827</v>
      </c>
      <c r="B515" t="s">
        <v>771</v>
      </c>
      <c r="C515">
        <v>33</v>
      </c>
      <c r="D515" t="s">
        <v>25</v>
      </c>
      <c r="E515" t="s">
        <v>17</v>
      </c>
      <c r="F515" t="s">
        <v>18</v>
      </c>
      <c r="G515" s="2">
        <v>45748</v>
      </c>
      <c r="H515" t="s">
        <v>28</v>
      </c>
      <c r="I515" s="3">
        <v>1251720</v>
      </c>
      <c r="J515">
        <v>617</v>
      </c>
      <c r="K515" t="s">
        <v>34</v>
      </c>
      <c r="L515" t="s">
        <v>30</v>
      </c>
      <c r="M515">
        <v>61</v>
      </c>
      <c r="N515" s="3">
        <v>1183.06</v>
      </c>
      <c r="O515" t="s">
        <v>22</v>
      </c>
    </row>
    <row r="516" spans="1:15" x14ac:dyDescent="0.2">
      <c r="A516" t="s">
        <v>828</v>
      </c>
      <c r="B516" t="s">
        <v>829</v>
      </c>
      <c r="C516">
        <v>67</v>
      </c>
      <c r="D516" t="s">
        <v>48</v>
      </c>
      <c r="E516" t="s">
        <v>26</v>
      </c>
      <c r="F516" t="s">
        <v>43</v>
      </c>
      <c r="G516" s="2">
        <v>46188</v>
      </c>
      <c r="H516" t="s">
        <v>28</v>
      </c>
      <c r="I516" s="3">
        <v>2397914</v>
      </c>
      <c r="J516">
        <v>710</v>
      </c>
      <c r="K516" t="s">
        <v>34</v>
      </c>
      <c r="L516" t="s">
        <v>38</v>
      </c>
      <c r="M516">
        <v>104</v>
      </c>
      <c r="N516" s="3">
        <v>16755.47</v>
      </c>
      <c r="O516" t="s">
        <v>22</v>
      </c>
    </row>
    <row r="517" spans="1:15" x14ac:dyDescent="0.2">
      <c r="A517" t="s">
        <v>830</v>
      </c>
      <c r="B517" t="s">
        <v>433</v>
      </c>
      <c r="C517">
        <v>66</v>
      </c>
      <c r="D517" t="s">
        <v>42</v>
      </c>
      <c r="E517" t="s">
        <v>17</v>
      </c>
      <c r="F517" t="s">
        <v>27</v>
      </c>
      <c r="G517" s="2">
        <v>45696</v>
      </c>
      <c r="H517" t="s">
        <v>33</v>
      </c>
      <c r="I517" s="3">
        <v>2935662</v>
      </c>
      <c r="J517">
        <v>834</v>
      </c>
      <c r="K517" t="s">
        <v>57</v>
      </c>
      <c r="L517" t="s">
        <v>38</v>
      </c>
      <c r="M517">
        <v>39</v>
      </c>
      <c r="N517" s="3">
        <v>27453.24</v>
      </c>
      <c r="O517" t="s">
        <v>39</v>
      </c>
    </row>
    <row r="518" spans="1:15" x14ac:dyDescent="0.2">
      <c r="A518" t="s">
        <v>831</v>
      </c>
      <c r="B518" t="s">
        <v>117</v>
      </c>
      <c r="C518">
        <v>51</v>
      </c>
      <c r="D518" t="s">
        <v>16</v>
      </c>
      <c r="E518" t="s">
        <v>56</v>
      </c>
      <c r="F518" t="s">
        <v>27</v>
      </c>
      <c r="G518" s="2">
        <v>45783</v>
      </c>
      <c r="H518" t="s">
        <v>28</v>
      </c>
      <c r="I518" s="3">
        <v>677709</v>
      </c>
      <c r="J518">
        <v>787</v>
      </c>
      <c r="K518" t="s">
        <v>92</v>
      </c>
      <c r="L518" t="s">
        <v>38</v>
      </c>
      <c r="M518">
        <v>55</v>
      </c>
      <c r="N518" s="3">
        <v>40709.279999999999</v>
      </c>
      <c r="O518" t="s">
        <v>22</v>
      </c>
    </row>
    <row r="519" spans="1:15" x14ac:dyDescent="0.2">
      <c r="A519" t="s">
        <v>832</v>
      </c>
      <c r="B519" t="s">
        <v>559</v>
      </c>
      <c r="C519">
        <v>36</v>
      </c>
      <c r="D519" t="s">
        <v>75</v>
      </c>
      <c r="E519" t="s">
        <v>56</v>
      </c>
      <c r="F519" t="s">
        <v>18</v>
      </c>
      <c r="G519" s="2">
        <v>46108</v>
      </c>
      <c r="H519" t="s">
        <v>44</v>
      </c>
      <c r="I519" s="3">
        <v>505539</v>
      </c>
      <c r="J519">
        <v>674</v>
      </c>
      <c r="K519" t="s">
        <v>20</v>
      </c>
      <c r="L519" t="s">
        <v>45</v>
      </c>
      <c r="M519">
        <v>96</v>
      </c>
      <c r="N519" s="3">
        <v>10915.6</v>
      </c>
      <c r="O519" t="s">
        <v>39</v>
      </c>
    </row>
    <row r="520" spans="1:15" x14ac:dyDescent="0.2">
      <c r="A520" t="s">
        <v>833</v>
      </c>
      <c r="B520" t="s">
        <v>458</v>
      </c>
      <c r="C520">
        <v>70</v>
      </c>
      <c r="D520" t="s">
        <v>70</v>
      </c>
      <c r="E520" t="s">
        <v>26</v>
      </c>
      <c r="F520" t="s">
        <v>27</v>
      </c>
      <c r="G520" s="2">
        <v>45830</v>
      </c>
      <c r="H520" t="s">
        <v>33</v>
      </c>
      <c r="I520" s="3">
        <v>2000866</v>
      </c>
      <c r="J520">
        <v>750</v>
      </c>
      <c r="K520" t="s">
        <v>29</v>
      </c>
      <c r="L520" t="s">
        <v>38</v>
      </c>
      <c r="M520">
        <v>36</v>
      </c>
      <c r="N520" s="3">
        <v>1201.1400000000001</v>
      </c>
      <c r="O520" t="s">
        <v>22</v>
      </c>
    </row>
    <row r="521" spans="1:15" x14ac:dyDescent="0.2">
      <c r="A521" t="s">
        <v>834</v>
      </c>
      <c r="B521" t="s">
        <v>596</v>
      </c>
      <c r="C521">
        <v>52</v>
      </c>
      <c r="D521" t="s">
        <v>48</v>
      </c>
      <c r="E521" t="s">
        <v>26</v>
      </c>
      <c r="F521" t="s">
        <v>18</v>
      </c>
      <c r="G521" s="2">
        <v>45877</v>
      </c>
      <c r="H521" t="s">
        <v>28</v>
      </c>
      <c r="I521" s="3">
        <v>3554513</v>
      </c>
      <c r="J521">
        <v>829</v>
      </c>
      <c r="K521" t="s">
        <v>57</v>
      </c>
      <c r="L521" t="s">
        <v>21</v>
      </c>
      <c r="M521">
        <v>114</v>
      </c>
      <c r="N521" s="3">
        <v>8495.94</v>
      </c>
      <c r="O521" t="s">
        <v>22</v>
      </c>
    </row>
    <row r="522" spans="1:15" x14ac:dyDescent="0.2">
      <c r="A522" t="s">
        <v>835</v>
      </c>
      <c r="B522" t="s">
        <v>666</v>
      </c>
      <c r="C522">
        <v>42</v>
      </c>
      <c r="D522" t="s">
        <v>16</v>
      </c>
      <c r="E522" t="s">
        <v>26</v>
      </c>
      <c r="F522" t="s">
        <v>27</v>
      </c>
      <c r="G522" s="2">
        <v>45715</v>
      </c>
      <c r="H522" t="s">
        <v>19</v>
      </c>
      <c r="I522" s="3">
        <v>4027173</v>
      </c>
      <c r="J522">
        <v>769</v>
      </c>
      <c r="K522" t="s">
        <v>57</v>
      </c>
      <c r="L522" t="s">
        <v>58</v>
      </c>
      <c r="M522">
        <v>37</v>
      </c>
      <c r="N522" s="3">
        <v>14166.42</v>
      </c>
      <c r="O522" t="s">
        <v>22</v>
      </c>
    </row>
    <row r="523" spans="1:15" x14ac:dyDescent="0.2">
      <c r="A523" t="s">
        <v>836</v>
      </c>
      <c r="B523" t="s">
        <v>54</v>
      </c>
      <c r="C523">
        <v>49</v>
      </c>
      <c r="D523" t="s">
        <v>51</v>
      </c>
      <c r="E523" t="s">
        <v>26</v>
      </c>
      <c r="F523" t="s">
        <v>18</v>
      </c>
      <c r="G523" s="2">
        <v>46133</v>
      </c>
      <c r="H523" t="s">
        <v>28</v>
      </c>
      <c r="I523" s="3">
        <v>2052272</v>
      </c>
      <c r="J523">
        <v>778</v>
      </c>
      <c r="K523" t="s">
        <v>34</v>
      </c>
      <c r="L523" t="s">
        <v>45</v>
      </c>
      <c r="M523">
        <v>112</v>
      </c>
      <c r="N523" s="3">
        <v>3116.91</v>
      </c>
      <c r="O523" t="s">
        <v>22</v>
      </c>
    </row>
    <row r="524" spans="1:15" x14ac:dyDescent="0.2">
      <c r="A524" t="s">
        <v>837</v>
      </c>
      <c r="B524" t="s">
        <v>281</v>
      </c>
      <c r="C524">
        <v>42</v>
      </c>
      <c r="D524" t="s">
        <v>70</v>
      </c>
      <c r="E524" t="s">
        <v>26</v>
      </c>
      <c r="F524" t="s">
        <v>18</v>
      </c>
      <c r="G524" s="2">
        <v>46113</v>
      </c>
      <c r="H524" t="s">
        <v>28</v>
      </c>
      <c r="I524" s="3">
        <v>4426429</v>
      </c>
      <c r="J524">
        <v>800</v>
      </c>
      <c r="K524" t="s">
        <v>29</v>
      </c>
      <c r="L524" t="s">
        <v>38</v>
      </c>
      <c r="M524">
        <v>14</v>
      </c>
      <c r="N524" s="3">
        <v>6780.27</v>
      </c>
      <c r="O524" t="s">
        <v>22</v>
      </c>
    </row>
    <row r="525" spans="1:15" x14ac:dyDescent="0.2">
      <c r="A525" t="s">
        <v>838</v>
      </c>
      <c r="B525" t="s">
        <v>590</v>
      </c>
      <c r="C525">
        <v>63</v>
      </c>
      <c r="D525" t="s">
        <v>70</v>
      </c>
      <c r="E525" t="s">
        <v>17</v>
      </c>
      <c r="F525" t="s">
        <v>27</v>
      </c>
      <c r="G525" s="2">
        <v>46018</v>
      </c>
      <c r="H525" t="s">
        <v>33</v>
      </c>
      <c r="I525" s="3">
        <v>3418097</v>
      </c>
      <c r="J525">
        <v>603</v>
      </c>
      <c r="K525" t="s">
        <v>34</v>
      </c>
      <c r="L525" t="s">
        <v>58</v>
      </c>
      <c r="M525">
        <v>27</v>
      </c>
      <c r="N525" s="3">
        <v>2342.79</v>
      </c>
      <c r="O525" t="s">
        <v>22</v>
      </c>
    </row>
    <row r="526" spans="1:15" x14ac:dyDescent="0.2">
      <c r="A526" t="s">
        <v>839</v>
      </c>
      <c r="B526" t="s">
        <v>840</v>
      </c>
      <c r="C526">
        <v>23</v>
      </c>
      <c r="D526" t="s">
        <v>37</v>
      </c>
      <c r="E526" t="s">
        <v>26</v>
      </c>
      <c r="F526" t="s">
        <v>27</v>
      </c>
      <c r="G526" s="2">
        <v>45658</v>
      </c>
      <c r="H526" t="s">
        <v>28</v>
      </c>
      <c r="I526" s="3">
        <v>2285030</v>
      </c>
      <c r="J526">
        <v>823</v>
      </c>
      <c r="K526" t="s">
        <v>57</v>
      </c>
      <c r="L526" t="s">
        <v>30</v>
      </c>
      <c r="M526">
        <v>83</v>
      </c>
      <c r="N526" s="3">
        <v>4706.3100000000004</v>
      </c>
      <c r="O526" t="s">
        <v>22</v>
      </c>
    </row>
    <row r="527" spans="1:15" x14ac:dyDescent="0.2">
      <c r="A527" t="s">
        <v>841</v>
      </c>
      <c r="B527" t="s">
        <v>746</v>
      </c>
      <c r="C527">
        <v>30</v>
      </c>
      <c r="D527" t="s">
        <v>25</v>
      </c>
      <c r="E527" t="s">
        <v>26</v>
      </c>
      <c r="F527" t="s">
        <v>27</v>
      </c>
      <c r="G527" s="2">
        <v>46044</v>
      </c>
      <c r="H527" t="s">
        <v>52</v>
      </c>
      <c r="I527" s="3">
        <v>2200852</v>
      </c>
      <c r="J527">
        <v>707</v>
      </c>
      <c r="K527" t="s">
        <v>20</v>
      </c>
      <c r="L527" t="s">
        <v>30</v>
      </c>
      <c r="M527">
        <v>31</v>
      </c>
      <c r="N527" s="3">
        <v>23343.87</v>
      </c>
      <c r="O527" t="s">
        <v>22</v>
      </c>
    </row>
    <row r="528" spans="1:15" x14ac:dyDescent="0.2">
      <c r="A528" t="s">
        <v>842</v>
      </c>
      <c r="B528" t="s">
        <v>321</v>
      </c>
      <c r="C528">
        <v>62</v>
      </c>
      <c r="D528" t="s">
        <v>51</v>
      </c>
      <c r="E528" t="s">
        <v>26</v>
      </c>
      <c r="F528" t="s">
        <v>18</v>
      </c>
      <c r="G528" s="2">
        <v>46005</v>
      </c>
      <c r="H528" t="s">
        <v>52</v>
      </c>
      <c r="I528" s="3">
        <v>262120</v>
      </c>
      <c r="J528">
        <v>672</v>
      </c>
      <c r="K528" t="s">
        <v>34</v>
      </c>
      <c r="L528" t="s">
        <v>58</v>
      </c>
      <c r="M528">
        <v>110</v>
      </c>
      <c r="N528" s="3">
        <v>18291.12</v>
      </c>
      <c r="O528" t="s">
        <v>22</v>
      </c>
    </row>
    <row r="529" spans="1:15" x14ac:dyDescent="0.2">
      <c r="A529" t="s">
        <v>843</v>
      </c>
      <c r="B529" t="s">
        <v>559</v>
      </c>
      <c r="C529">
        <v>41</v>
      </c>
      <c r="D529" t="s">
        <v>75</v>
      </c>
      <c r="E529" t="s">
        <v>17</v>
      </c>
      <c r="F529" t="s">
        <v>43</v>
      </c>
      <c r="G529" s="2">
        <v>45847</v>
      </c>
      <c r="H529" t="s">
        <v>19</v>
      </c>
      <c r="I529" s="3">
        <v>874135</v>
      </c>
      <c r="J529">
        <v>712</v>
      </c>
      <c r="K529" t="s">
        <v>34</v>
      </c>
      <c r="L529" t="s">
        <v>21</v>
      </c>
      <c r="M529">
        <v>73</v>
      </c>
      <c r="N529" s="3">
        <v>2069.41</v>
      </c>
      <c r="O529" t="s">
        <v>22</v>
      </c>
    </row>
    <row r="530" spans="1:15" x14ac:dyDescent="0.2">
      <c r="A530" t="s">
        <v>844</v>
      </c>
      <c r="B530" t="s">
        <v>559</v>
      </c>
      <c r="C530">
        <v>36</v>
      </c>
      <c r="D530" t="s">
        <v>55</v>
      </c>
      <c r="E530" t="s">
        <v>26</v>
      </c>
      <c r="F530" t="s">
        <v>43</v>
      </c>
      <c r="G530" s="2">
        <v>46162</v>
      </c>
      <c r="H530" t="s">
        <v>28</v>
      </c>
      <c r="I530" s="3">
        <v>2303902</v>
      </c>
      <c r="J530">
        <v>634</v>
      </c>
      <c r="K530" t="s">
        <v>67</v>
      </c>
      <c r="L530" t="s">
        <v>58</v>
      </c>
      <c r="M530">
        <v>102</v>
      </c>
      <c r="N530" s="3">
        <v>4271.6899999999996</v>
      </c>
      <c r="O530" t="s">
        <v>22</v>
      </c>
    </row>
    <row r="531" spans="1:15" x14ac:dyDescent="0.2">
      <c r="A531" t="s">
        <v>845</v>
      </c>
      <c r="B531" t="s">
        <v>318</v>
      </c>
      <c r="C531">
        <v>32</v>
      </c>
      <c r="D531" t="s">
        <v>16</v>
      </c>
      <c r="E531" t="s">
        <v>17</v>
      </c>
      <c r="F531" t="s">
        <v>27</v>
      </c>
      <c r="G531" s="2">
        <v>45848</v>
      </c>
      <c r="H531" t="s">
        <v>28</v>
      </c>
      <c r="I531" s="3">
        <v>2471186</v>
      </c>
      <c r="J531">
        <v>737</v>
      </c>
      <c r="K531" t="s">
        <v>34</v>
      </c>
      <c r="L531" t="s">
        <v>58</v>
      </c>
      <c r="M531">
        <v>81</v>
      </c>
      <c r="N531" s="3">
        <v>9508.5499999999993</v>
      </c>
      <c r="O531" t="s">
        <v>22</v>
      </c>
    </row>
    <row r="532" spans="1:15" x14ac:dyDescent="0.2">
      <c r="A532" t="s">
        <v>846</v>
      </c>
      <c r="B532" t="s">
        <v>96</v>
      </c>
      <c r="C532">
        <v>22</v>
      </c>
      <c r="D532" t="s">
        <v>37</v>
      </c>
      <c r="E532" t="s">
        <v>26</v>
      </c>
      <c r="F532" t="s">
        <v>27</v>
      </c>
      <c r="G532" s="2">
        <v>46165</v>
      </c>
      <c r="H532" t="s">
        <v>52</v>
      </c>
      <c r="I532" s="3">
        <v>3571613</v>
      </c>
      <c r="J532">
        <v>608</v>
      </c>
      <c r="K532" t="s">
        <v>57</v>
      </c>
      <c r="L532" t="s">
        <v>45</v>
      </c>
      <c r="M532">
        <v>83</v>
      </c>
      <c r="N532" s="3">
        <v>11359.96</v>
      </c>
      <c r="O532" t="s">
        <v>22</v>
      </c>
    </row>
    <row r="533" spans="1:15" x14ac:dyDescent="0.2">
      <c r="A533" t="s">
        <v>847</v>
      </c>
      <c r="B533" t="s">
        <v>709</v>
      </c>
      <c r="C533">
        <v>61</v>
      </c>
      <c r="D533" t="s">
        <v>70</v>
      </c>
      <c r="E533" t="s">
        <v>56</v>
      </c>
      <c r="F533" t="s">
        <v>27</v>
      </c>
      <c r="G533" s="2">
        <v>46026</v>
      </c>
      <c r="H533" t="s">
        <v>28</v>
      </c>
      <c r="I533" s="3">
        <v>1084030</v>
      </c>
      <c r="J533">
        <v>790</v>
      </c>
      <c r="K533" t="s">
        <v>20</v>
      </c>
      <c r="L533" t="s">
        <v>30</v>
      </c>
      <c r="M533">
        <v>44</v>
      </c>
      <c r="N533" s="3">
        <v>4464.71</v>
      </c>
      <c r="O533" t="s">
        <v>335</v>
      </c>
    </row>
    <row r="534" spans="1:15" x14ac:dyDescent="0.2">
      <c r="A534" t="s">
        <v>848</v>
      </c>
      <c r="B534" t="s">
        <v>88</v>
      </c>
      <c r="C534">
        <v>44</v>
      </c>
      <c r="D534" t="s">
        <v>48</v>
      </c>
      <c r="E534" t="s">
        <v>56</v>
      </c>
      <c r="F534" t="s">
        <v>27</v>
      </c>
      <c r="G534" s="2">
        <v>46066</v>
      </c>
      <c r="I534" s="3">
        <v>2601441</v>
      </c>
      <c r="J534">
        <v>733</v>
      </c>
      <c r="K534" t="s">
        <v>29</v>
      </c>
      <c r="L534" t="s">
        <v>30</v>
      </c>
      <c r="M534">
        <v>68</v>
      </c>
      <c r="N534" s="3">
        <v>14768.92</v>
      </c>
      <c r="O534" t="s">
        <v>22</v>
      </c>
    </row>
    <row r="535" spans="1:15" x14ac:dyDescent="0.2">
      <c r="A535" t="s">
        <v>849</v>
      </c>
      <c r="B535" t="s">
        <v>80</v>
      </c>
      <c r="C535">
        <v>55</v>
      </c>
      <c r="D535" t="s">
        <v>37</v>
      </c>
      <c r="E535" t="s">
        <v>26</v>
      </c>
      <c r="F535" t="s">
        <v>43</v>
      </c>
      <c r="G535" s="2">
        <v>45774</v>
      </c>
      <c r="H535" t="s">
        <v>33</v>
      </c>
      <c r="I535" s="3">
        <v>3174553</v>
      </c>
      <c r="J535">
        <v>801</v>
      </c>
      <c r="K535" t="s">
        <v>78</v>
      </c>
      <c r="L535" t="s">
        <v>38</v>
      </c>
      <c r="M535">
        <v>48</v>
      </c>
      <c r="N535" s="3">
        <v>8629.6</v>
      </c>
      <c r="O535" t="s">
        <v>22</v>
      </c>
    </row>
    <row r="536" spans="1:15" x14ac:dyDescent="0.2">
      <c r="A536" t="s">
        <v>850</v>
      </c>
      <c r="B536" t="s">
        <v>614</v>
      </c>
      <c r="C536">
        <v>50</v>
      </c>
      <c r="D536" t="s">
        <v>16</v>
      </c>
      <c r="E536" t="s">
        <v>26</v>
      </c>
      <c r="F536" t="s">
        <v>18</v>
      </c>
      <c r="G536" s="2">
        <v>45791</v>
      </c>
      <c r="H536" t="s">
        <v>28</v>
      </c>
      <c r="I536" s="3">
        <v>2516598</v>
      </c>
      <c r="J536">
        <v>694</v>
      </c>
      <c r="K536" t="s">
        <v>29</v>
      </c>
      <c r="L536" t="s">
        <v>58</v>
      </c>
      <c r="M536">
        <v>57</v>
      </c>
      <c r="N536" s="3">
        <v>598.57000000000005</v>
      </c>
      <c r="O536" t="s">
        <v>22</v>
      </c>
    </row>
    <row r="537" spans="1:15" x14ac:dyDescent="0.2">
      <c r="A537" t="s">
        <v>851</v>
      </c>
      <c r="B537" t="s">
        <v>136</v>
      </c>
      <c r="C537">
        <v>50</v>
      </c>
      <c r="D537" t="s">
        <v>16</v>
      </c>
      <c r="E537" t="s">
        <v>26</v>
      </c>
      <c r="F537" t="s">
        <v>18</v>
      </c>
      <c r="G537" s="2">
        <v>45715</v>
      </c>
      <c r="H537" t="s">
        <v>28</v>
      </c>
      <c r="I537" s="3">
        <v>2026238</v>
      </c>
      <c r="J537">
        <v>737</v>
      </c>
      <c r="K537" t="s">
        <v>20</v>
      </c>
      <c r="L537" t="s">
        <v>58</v>
      </c>
      <c r="M537">
        <v>75</v>
      </c>
      <c r="N537" s="3">
        <v>4913.5200000000004</v>
      </c>
      <c r="O537" t="s">
        <v>22</v>
      </c>
    </row>
    <row r="538" spans="1:15" x14ac:dyDescent="0.2">
      <c r="A538" t="s">
        <v>852</v>
      </c>
      <c r="B538" t="s">
        <v>15</v>
      </c>
      <c r="C538">
        <v>67</v>
      </c>
      <c r="D538" t="s">
        <v>25</v>
      </c>
      <c r="E538" t="s">
        <v>26</v>
      </c>
      <c r="F538" t="s">
        <v>27</v>
      </c>
      <c r="G538" s="2">
        <v>46213</v>
      </c>
      <c r="H538" t="s">
        <v>44</v>
      </c>
      <c r="I538" s="3">
        <v>312784</v>
      </c>
      <c r="J538">
        <v>838</v>
      </c>
      <c r="K538" t="s">
        <v>86</v>
      </c>
      <c r="L538" t="s">
        <v>21</v>
      </c>
      <c r="M538">
        <v>22</v>
      </c>
      <c r="N538" s="3">
        <v>4768.3900000000003</v>
      </c>
      <c r="O538" t="s">
        <v>22</v>
      </c>
    </row>
    <row r="539" spans="1:15" x14ac:dyDescent="0.2">
      <c r="A539" t="s">
        <v>853</v>
      </c>
      <c r="B539" t="s">
        <v>854</v>
      </c>
      <c r="C539">
        <v>55</v>
      </c>
      <c r="D539" t="s">
        <v>70</v>
      </c>
      <c r="E539" t="s">
        <v>17</v>
      </c>
      <c r="F539" t="s">
        <v>100</v>
      </c>
      <c r="G539" s="2">
        <v>45830</v>
      </c>
      <c r="H539" t="s">
        <v>44</v>
      </c>
      <c r="I539" s="3">
        <v>2709730</v>
      </c>
      <c r="J539">
        <v>830</v>
      </c>
      <c r="K539" t="s">
        <v>34</v>
      </c>
      <c r="L539" t="s">
        <v>30</v>
      </c>
      <c r="M539">
        <v>4</v>
      </c>
      <c r="N539" s="3">
        <v>18254.87</v>
      </c>
      <c r="O539" t="s">
        <v>22</v>
      </c>
    </row>
    <row r="540" spans="1:15" x14ac:dyDescent="0.2">
      <c r="A540" t="s">
        <v>855</v>
      </c>
      <c r="B540" t="s">
        <v>622</v>
      </c>
      <c r="C540">
        <v>39</v>
      </c>
      <c r="D540" t="s">
        <v>51</v>
      </c>
      <c r="E540" t="s">
        <v>56</v>
      </c>
      <c r="F540" t="s">
        <v>18</v>
      </c>
      <c r="G540" s="2">
        <v>45806</v>
      </c>
      <c r="H540" t="s">
        <v>28</v>
      </c>
      <c r="I540" s="3">
        <v>2245127</v>
      </c>
      <c r="J540">
        <v>701</v>
      </c>
      <c r="K540" t="s">
        <v>29</v>
      </c>
      <c r="L540" t="s">
        <v>21</v>
      </c>
      <c r="M540">
        <v>81</v>
      </c>
      <c r="N540" s="3">
        <v>18598.98</v>
      </c>
      <c r="O540" t="s">
        <v>22</v>
      </c>
    </row>
    <row r="541" spans="1:15" x14ac:dyDescent="0.2">
      <c r="A541" t="s">
        <v>856</v>
      </c>
      <c r="B541" t="s">
        <v>268</v>
      </c>
      <c r="C541">
        <v>70</v>
      </c>
      <c r="D541" t="s">
        <v>42</v>
      </c>
      <c r="E541" t="s">
        <v>17</v>
      </c>
      <c r="F541" t="s">
        <v>100</v>
      </c>
      <c r="G541" s="2">
        <v>45737</v>
      </c>
      <c r="H541" t="s">
        <v>28</v>
      </c>
      <c r="I541" s="3">
        <v>1991070</v>
      </c>
      <c r="J541">
        <v>842</v>
      </c>
      <c r="K541" t="s">
        <v>86</v>
      </c>
      <c r="L541" t="s">
        <v>45</v>
      </c>
      <c r="M541">
        <v>72</v>
      </c>
      <c r="N541" s="3">
        <v>1547.34</v>
      </c>
      <c r="O541" t="s">
        <v>22</v>
      </c>
    </row>
    <row r="542" spans="1:15" x14ac:dyDescent="0.2">
      <c r="A542" t="s">
        <v>857</v>
      </c>
      <c r="B542" t="s">
        <v>148</v>
      </c>
      <c r="C542">
        <v>28</v>
      </c>
      <c r="D542" t="s">
        <v>55</v>
      </c>
      <c r="E542" t="s">
        <v>56</v>
      </c>
      <c r="F542" t="s">
        <v>43</v>
      </c>
      <c r="G542" s="2">
        <v>45870</v>
      </c>
      <c r="H542" t="s">
        <v>28</v>
      </c>
      <c r="I542" s="3">
        <v>1758834</v>
      </c>
      <c r="J542">
        <v>628</v>
      </c>
      <c r="K542" t="s">
        <v>86</v>
      </c>
      <c r="L542" t="s">
        <v>38</v>
      </c>
      <c r="M542">
        <v>46</v>
      </c>
      <c r="N542" s="3">
        <v>14191.46</v>
      </c>
      <c r="O542" t="s">
        <v>22</v>
      </c>
    </row>
    <row r="543" spans="1:15" x14ac:dyDescent="0.2">
      <c r="A543" t="s">
        <v>858</v>
      </c>
      <c r="B543" t="s">
        <v>859</v>
      </c>
      <c r="C543">
        <v>46</v>
      </c>
      <c r="D543" t="s">
        <v>25</v>
      </c>
      <c r="E543" t="s">
        <v>26</v>
      </c>
      <c r="F543" t="s">
        <v>27</v>
      </c>
      <c r="G543" s="2">
        <v>45860</v>
      </c>
      <c r="H543" t="s">
        <v>44</v>
      </c>
      <c r="I543" s="3">
        <v>1285108</v>
      </c>
      <c r="J543">
        <v>656</v>
      </c>
      <c r="K543" t="s">
        <v>20</v>
      </c>
      <c r="L543" t="s">
        <v>21</v>
      </c>
      <c r="M543">
        <v>59</v>
      </c>
      <c r="N543" s="3">
        <v>8286.1299999999992</v>
      </c>
      <c r="O543" t="s">
        <v>22</v>
      </c>
    </row>
    <row r="544" spans="1:15" x14ac:dyDescent="0.2">
      <c r="A544" t="s">
        <v>860</v>
      </c>
      <c r="B544" t="s">
        <v>744</v>
      </c>
      <c r="C544">
        <v>69</v>
      </c>
      <c r="D544" t="s">
        <v>89</v>
      </c>
      <c r="E544" t="s">
        <v>26</v>
      </c>
      <c r="F544" t="s">
        <v>27</v>
      </c>
      <c r="G544" s="2">
        <v>45886</v>
      </c>
      <c r="H544" t="s">
        <v>28</v>
      </c>
      <c r="I544" s="3">
        <v>728365</v>
      </c>
      <c r="J544">
        <v>706</v>
      </c>
      <c r="K544" t="s">
        <v>20</v>
      </c>
      <c r="L544" t="s">
        <v>30</v>
      </c>
      <c r="M544">
        <v>34</v>
      </c>
      <c r="N544" s="3">
        <v>10226.58</v>
      </c>
      <c r="O544" t="s">
        <v>22</v>
      </c>
    </row>
    <row r="545" spans="1:15" x14ac:dyDescent="0.2">
      <c r="A545" t="s">
        <v>861</v>
      </c>
      <c r="B545" t="s">
        <v>862</v>
      </c>
      <c r="C545">
        <v>60</v>
      </c>
      <c r="D545" t="s">
        <v>70</v>
      </c>
      <c r="E545" t="s">
        <v>56</v>
      </c>
      <c r="F545" t="s">
        <v>18</v>
      </c>
      <c r="G545" s="2">
        <v>45884</v>
      </c>
      <c r="H545" t="s">
        <v>52</v>
      </c>
      <c r="I545" s="3">
        <v>3164212</v>
      </c>
      <c r="J545">
        <v>776</v>
      </c>
      <c r="K545" t="s">
        <v>67</v>
      </c>
      <c r="L545" t="s">
        <v>45</v>
      </c>
      <c r="M545">
        <v>11</v>
      </c>
      <c r="N545" s="3">
        <v>4700.7700000000004</v>
      </c>
      <c r="O545" t="s">
        <v>22</v>
      </c>
    </row>
    <row r="546" spans="1:15" x14ac:dyDescent="0.2">
      <c r="A546" t="s">
        <v>863</v>
      </c>
      <c r="B546" t="s">
        <v>864</v>
      </c>
      <c r="C546">
        <v>27</v>
      </c>
      <c r="D546" t="s">
        <v>25</v>
      </c>
      <c r="E546" t="s">
        <v>26</v>
      </c>
      <c r="F546" t="s">
        <v>27</v>
      </c>
      <c r="G546" s="2">
        <v>46189</v>
      </c>
      <c r="H546" t="s">
        <v>28</v>
      </c>
      <c r="I546" s="3">
        <v>2324242</v>
      </c>
      <c r="J546">
        <v>800</v>
      </c>
      <c r="K546" t="s">
        <v>34</v>
      </c>
      <c r="L546" t="s">
        <v>58</v>
      </c>
      <c r="M546">
        <v>31</v>
      </c>
      <c r="N546" s="3">
        <v>8392.3700000000008</v>
      </c>
      <c r="O546" t="s">
        <v>22</v>
      </c>
    </row>
    <row r="547" spans="1:15" x14ac:dyDescent="0.2">
      <c r="A547" t="s">
        <v>865</v>
      </c>
      <c r="B547" t="s">
        <v>98</v>
      </c>
      <c r="C547">
        <v>50</v>
      </c>
      <c r="D547" t="s">
        <v>75</v>
      </c>
      <c r="E547" t="s">
        <v>17</v>
      </c>
      <c r="F547" t="s">
        <v>27</v>
      </c>
      <c r="G547" s="2">
        <v>46098</v>
      </c>
      <c r="H547" t="s">
        <v>33</v>
      </c>
      <c r="I547" s="3">
        <v>3465400</v>
      </c>
      <c r="J547">
        <v>670</v>
      </c>
      <c r="K547" t="s">
        <v>78</v>
      </c>
      <c r="L547" t="s">
        <v>45</v>
      </c>
      <c r="M547">
        <v>11</v>
      </c>
      <c r="N547" s="3">
        <v>29966.73</v>
      </c>
      <c r="O547" t="s">
        <v>22</v>
      </c>
    </row>
    <row r="548" spans="1:15" x14ac:dyDescent="0.2">
      <c r="A548" t="s">
        <v>866</v>
      </c>
      <c r="B548" t="s">
        <v>660</v>
      </c>
      <c r="C548">
        <v>27</v>
      </c>
      <c r="D548" t="s">
        <v>55</v>
      </c>
      <c r="E548" t="s">
        <v>26</v>
      </c>
      <c r="F548" t="s">
        <v>43</v>
      </c>
      <c r="G548" s="2">
        <v>46059</v>
      </c>
      <c r="H548" t="s">
        <v>28</v>
      </c>
      <c r="I548" s="3">
        <v>1869110</v>
      </c>
      <c r="J548">
        <v>587</v>
      </c>
      <c r="K548" t="s">
        <v>92</v>
      </c>
      <c r="L548" t="s">
        <v>21</v>
      </c>
      <c r="M548">
        <v>120</v>
      </c>
      <c r="N548" s="3">
        <v>10074.83</v>
      </c>
      <c r="O548" t="s">
        <v>22</v>
      </c>
    </row>
    <row r="549" spans="1:15" x14ac:dyDescent="0.2">
      <c r="A549" t="s">
        <v>867</v>
      </c>
      <c r="B549" t="s">
        <v>289</v>
      </c>
      <c r="C549">
        <v>23</v>
      </c>
      <c r="D549" t="s">
        <v>37</v>
      </c>
      <c r="E549" t="s">
        <v>26</v>
      </c>
      <c r="F549" t="s">
        <v>43</v>
      </c>
      <c r="G549" s="2">
        <v>45704</v>
      </c>
      <c r="H549" t="s">
        <v>52</v>
      </c>
      <c r="I549" s="3">
        <v>744209</v>
      </c>
      <c r="J549">
        <v>611</v>
      </c>
      <c r="K549" t="s">
        <v>57</v>
      </c>
      <c r="L549" t="s">
        <v>30</v>
      </c>
      <c r="M549">
        <v>118</v>
      </c>
      <c r="N549" s="3">
        <v>8565.11</v>
      </c>
      <c r="O549" t="s">
        <v>22</v>
      </c>
    </row>
    <row r="550" spans="1:15" x14ac:dyDescent="0.2">
      <c r="A550" t="s">
        <v>868</v>
      </c>
      <c r="B550" t="s">
        <v>439</v>
      </c>
      <c r="C550">
        <v>21</v>
      </c>
      <c r="D550" t="s">
        <v>128</v>
      </c>
      <c r="E550" t="s">
        <v>83</v>
      </c>
      <c r="F550" t="s">
        <v>43</v>
      </c>
      <c r="G550" s="2">
        <v>45890</v>
      </c>
      <c r="H550" t="s">
        <v>28</v>
      </c>
      <c r="I550" s="3">
        <v>863398</v>
      </c>
      <c r="J550">
        <v>848</v>
      </c>
      <c r="K550" t="s">
        <v>29</v>
      </c>
      <c r="L550" t="s">
        <v>21</v>
      </c>
      <c r="M550">
        <v>56</v>
      </c>
      <c r="N550" s="3">
        <v>5414.5</v>
      </c>
      <c r="O550" t="s">
        <v>22</v>
      </c>
    </row>
    <row r="551" spans="1:15" x14ac:dyDescent="0.2">
      <c r="A551" t="s">
        <v>869</v>
      </c>
      <c r="B551" t="s">
        <v>870</v>
      </c>
      <c r="C551">
        <v>56</v>
      </c>
      <c r="D551" t="s">
        <v>89</v>
      </c>
      <c r="E551" t="s">
        <v>26</v>
      </c>
      <c r="F551" t="s">
        <v>27</v>
      </c>
      <c r="G551" s="2">
        <v>45962</v>
      </c>
      <c r="H551" t="s">
        <v>33</v>
      </c>
      <c r="I551" s="3">
        <v>1784230</v>
      </c>
      <c r="J551">
        <v>770</v>
      </c>
      <c r="K551" t="s">
        <v>20</v>
      </c>
      <c r="L551" t="s">
        <v>58</v>
      </c>
      <c r="M551">
        <v>38</v>
      </c>
      <c r="N551" s="3">
        <v>27034.49</v>
      </c>
      <c r="O551" t="s">
        <v>22</v>
      </c>
    </row>
    <row r="552" spans="1:15" x14ac:dyDescent="0.2">
      <c r="A552" t="s">
        <v>871</v>
      </c>
      <c r="B552" t="s">
        <v>614</v>
      </c>
      <c r="C552">
        <v>45</v>
      </c>
      <c r="D552" t="s">
        <v>105</v>
      </c>
      <c r="E552" t="s">
        <v>83</v>
      </c>
      <c r="F552" t="s">
        <v>27</v>
      </c>
      <c r="G552" s="2">
        <v>46183</v>
      </c>
      <c r="H552" t="s">
        <v>28</v>
      </c>
      <c r="I552" s="3">
        <v>2013796</v>
      </c>
      <c r="J552">
        <v>742</v>
      </c>
      <c r="K552" t="s">
        <v>29</v>
      </c>
      <c r="L552" t="s">
        <v>58</v>
      </c>
      <c r="M552">
        <v>117</v>
      </c>
      <c r="N552" s="3">
        <v>2333.61</v>
      </c>
      <c r="O552" t="s">
        <v>22</v>
      </c>
    </row>
    <row r="553" spans="1:15" x14ac:dyDescent="0.2">
      <c r="A553" t="s">
        <v>872</v>
      </c>
      <c r="B553" t="s">
        <v>156</v>
      </c>
      <c r="C553">
        <v>57</v>
      </c>
      <c r="D553" t="s">
        <v>25</v>
      </c>
      <c r="E553" t="s">
        <v>83</v>
      </c>
      <c r="F553" t="s">
        <v>43</v>
      </c>
      <c r="G553" s="2">
        <v>45800</v>
      </c>
      <c r="H553" t="s">
        <v>52</v>
      </c>
      <c r="I553" s="3">
        <v>1101980</v>
      </c>
      <c r="J553">
        <v>640</v>
      </c>
      <c r="K553" t="s">
        <v>92</v>
      </c>
      <c r="L553" t="s">
        <v>30</v>
      </c>
      <c r="M553">
        <v>21</v>
      </c>
      <c r="N553" s="3">
        <v>3858.11</v>
      </c>
      <c r="O553" t="s">
        <v>22</v>
      </c>
    </row>
    <row r="554" spans="1:15" x14ac:dyDescent="0.2">
      <c r="A554" t="s">
        <v>873</v>
      </c>
      <c r="B554" t="s">
        <v>132</v>
      </c>
      <c r="C554">
        <v>21</v>
      </c>
      <c r="D554" t="s">
        <v>16</v>
      </c>
      <c r="E554" t="s">
        <v>56</v>
      </c>
      <c r="F554" t="s">
        <v>100</v>
      </c>
      <c r="G554" s="2">
        <v>46072</v>
      </c>
      <c r="H554" t="s">
        <v>44</v>
      </c>
      <c r="I554" s="3">
        <v>2016299</v>
      </c>
      <c r="J554">
        <v>843</v>
      </c>
      <c r="K554" t="s">
        <v>92</v>
      </c>
      <c r="L554" t="s">
        <v>38</v>
      </c>
      <c r="M554">
        <v>110</v>
      </c>
      <c r="N554" s="3">
        <v>2197.0700000000002</v>
      </c>
      <c r="O554" t="s">
        <v>22</v>
      </c>
    </row>
    <row r="555" spans="1:15" x14ac:dyDescent="0.2">
      <c r="A555" t="s">
        <v>874</v>
      </c>
      <c r="B555" t="s">
        <v>668</v>
      </c>
      <c r="C555">
        <v>35</v>
      </c>
      <c r="D555" t="s">
        <v>42</v>
      </c>
      <c r="E555" t="s">
        <v>17</v>
      </c>
      <c r="F555" t="s">
        <v>18</v>
      </c>
      <c r="G555" s="2">
        <v>46170</v>
      </c>
      <c r="H555" t="s">
        <v>28</v>
      </c>
      <c r="I555" s="3">
        <v>4270018</v>
      </c>
      <c r="J555">
        <v>674</v>
      </c>
      <c r="K555" t="s">
        <v>34</v>
      </c>
      <c r="L555" t="s">
        <v>45</v>
      </c>
      <c r="M555">
        <v>94</v>
      </c>
      <c r="N555" s="3">
        <v>11055.9</v>
      </c>
      <c r="O555" t="s">
        <v>22</v>
      </c>
    </row>
    <row r="556" spans="1:15" x14ac:dyDescent="0.2">
      <c r="A556" t="s">
        <v>875</v>
      </c>
      <c r="B556" t="s">
        <v>181</v>
      </c>
      <c r="C556">
        <v>57</v>
      </c>
      <c r="D556" t="s">
        <v>128</v>
      </c>
      <c r="E556" t="s">
        <v>17</v>
      </c>
      <c r="F556" t="s">
        <v>100</v>
      </c>
      <c r="G556" s="2">
        <v>46030</v>
      </c>
      <c r="H556" t="s">
        <v>44</v>
      </c>
      <c r="I556" s="3">
        <v>1912656</v>
      </c>
      <c r="J556">
        <v>620</v>
      </c>
      <c r="K556" t="s">
        <v>86</v>
      </c>
      <c r="L556" t="s">
        <v>45</v>
      </c>
      <c r="M556">
        <v>10</v>
      </c>
      <c r="N556" s="3">
        <v>30906.91</v>
      </c>
      <c r="O556" t="s">
        <v>335</v>
      </c>
    </row>
    <row r="557" spans="1:15" x14ac:dyDescent="0.2">
      <c r="A557" t="s">
        <v>876</v>
      </c>
      <c r="B557" t="s">
        <v>877</v>
      </c>
      <c r="C557">
        <v>33</v>
      </c>
      <c r="D557" t="s">
        <v>25</v>
      </c>
      <c r="E557" t="s">
        <v>56</v>
      </c>
      <c r="F557" t="s">
        <v>18</v>
      </c>
      <c r="G557" s="2">
        <v>46223</v>
      </c>
      <c r="H557" t="s">
        <v>33</v>
      </c>
      <c r="I557" s="3">
        <v>2860366</v>
      </c>
      <c r="J557">
        <v>728</v>
      </c>
      <c r="K557" t="s">
        <v>34</v>
      </c>
      <c r="L557" t="s">
        <v>58</v>
      </c>
      <c r="M557">
        <v>26</v>
      </c>
      <c r="N557" s="3">
        <v>6340.83</v>
      </c>
      <c r="O557" t="s">
        <v>22</v>
      </c>
    </row>
    <row r="558" spans="1:15" x14ac:dyDescent="0.2">
      <c r="A558" t="s">
        <v>878</v>
      </c>
      <c r="B558" t="s">
        <v>136</v>
      </c>
      <c r="C558">
        <v>60</v>
      </c>
      <c r="D558" t="s">
        <v>25</v>
      </c>
      <c r="E558" t="s">
        <v>26</v>
      </c>
      <c r="F558" t="s">
        <v>43</v>
      </c>
      <c r="G558" s="2">
        <v>45916</v>
      </c>
      <c r="H558" t="s">
        <v>28</v>
      </c>
      <c r="I558" s="3">
        <v>1484599</v>
      </c>
      <c r="J558">
        <v>783</v>
      </c>
      <c r="K558" t="s">
        <v>57</v>
      </c>
      <c r="L558" t="s">
        <v>21</v>
      </c>
      <c r="M558">
        <v>91</v>
      </c>
      <c r="N558" s="3">
        <v>2913.54</v>
      </c>
      <c r="O558" t="s">
        <v>22</v>
      </c>
    </row>
    <row r="559" spans="1:15" x14ac:dyDescent="0.2">
      <c r="A559" t="s">
        <v>879</v>
      </c>
      <c r="B559" t="s">
        <v>152</v>
      </c>
      <c r="C559">
        <v>28</v>
      </c>
      <c r="D559" t="s">
        <v>48</v>
      </c>
      <c r="E559" t="s">
        <v>26</v>
      </c>
      <c r="F559" t="s">
        <v>27</v>
      </c>
      <c r="G559" s="2">
        <v>46128</v>
      </c>
      <c r="H559" t="s">
        <v>28</v>
      </c>
      <c r="I559" s="3">
        <v>810846</v>
      </c>
      <c r="J559">
        <v>846</v>
      </c>
      <c r="K559" t="s">
        <v>78</v>
      </c>
      <c r="L559" t="s">
        <v>21</v>
      </c>
      <c r="M559">
        <v>8</v>
      </c>
      <c r="N559" s="3">
        <v>49924.58</v>
      </c>
      <c r="O559" t="s">
        <v>22</v>
      </c>
    </row>
    <row r="560" spans="1:15" x14ac:dyDescent="0.2">
      <c r="A560" t="s">
        <v>880</v>
      </c>
      <c r="B560" t="s">
        <v>829</v>
      </c>
      <c r="C560">
        <v>25</v>
      </c>
      <c r="D560" t="s">
        <v>48</v>
      </c>
      <c r="E560" t="s">
        <v>17</v>
      </c>
      <c r="F560" t="s">
        <v>18</v>
      </c>
      <c r="G560" s="2">
        <v>45669</v>
      </c>
      <c r="H560" t="s">
        <v>28</v>
      </c>
      <c r="I560" s="3">
        <v>1445307</v>
      </c>
      <c r="J560">
        <v>581</v>
      </c>
      <c r="K560" t="s">
        <v>29</v>
      </c>
      <c r="L560" t="s">
        <v>38</v>
      </c>
      <c r="M560">
        <v>103</v>
      </c>
      <c r="N560" s="3">
        <v>14383.65</v>
      </c>
      <c r="O560" t="s">
        <v>22</v>
      </c>
    </row>
    <row r="561" spans="1:15" x14ac:dyDescent="0.2">
      <c r="A561" t="s">
        <v>881</v>
      </c>
      <c r="B561" t="s">
        <v>492</v>
      </c>
      <c r="C561">
        <v>29</v>
      </c>
      <c r="D561" t="s">
        <v>128</v>
      </c>
      <c r="E561" t="s">
        <v>26</v>
      </c>
      <c r="F561" t="s">
        <v>43</v>
      </c>
      <c r="G561" s="2">
        <v>45987</v>
      </c>
      <c r="H561" t="s">
        <v>52</v>
      </c>
      <c r="I561" s="3">
        <v>3121712</v>
      </c>
      <c r="J561">
        <v>757</v>
      </c>
      <c r="K561" t="s">
        <v>57</v>
      </c>
      <c r="L561" t="s">
        <v>21</v>
      </c>
      <c r="M561">
        <v>8</v>
      </c>
      <c r="N561" s="3">
        <v>11984.87</v>
      </c>
      <c r="O561" t="s">
        <v>39</v>
      </c>
    </row>
    <row r="562" spans="1:15" x14ac:dyDescent="0.2">
      <c r="A562" t="s">
        <v>882</v>
      </c>
      <c r="B562" t="s">
        <v>540</v>
      </c>
      <c r="C562">
        <v>21</v>
      </c>
      <c r="D562" t="s">
        <v>51</v>
      </c>
      <c r="E562" t="s">
        <v>26</v>
      </c>
      <c r="F562" t="s">
        <v>43</v>
      </c>
      <c r="G562" s="2">
        <v>46015</v>
      </c>
      <c r="H562" t="s">
        <v>52</v>
      </c>
      <c r="I562" s="3">
        <v>4367143</v>
      </c>
      <c r="J562">
        <v>773</v>
      </c>
      <c r="K562" t="s">
        <v>67</v>
      </c>
      <c r="L562" t="s">
        <v>45</v>
      </c>
      <c r="M562">
        <v>60</v>
      </c>
      <c r="N562" s="3">
        <v>7334.17</v>
      </c>
      <c r="O562" t="s">
        <v>22</v>
      </c>
    </row>
    <row r="563" spans="1:15" x14ac:dyDescent="0.2">
      <c r="A563" t="s">
        <v>883</v>
      </c>
      <c r="B563" t="s">
        <v>884</v>
      </c>
      <c r="C563">
        <v>56</v>
      </c>
      <c r="D563" t="s">
        <v>37</v>
      </c>
      <c r="E563" t="s">
        <v>26</v>
      </c>
      <c r="F563" t="s">
        <v>43</v>
      </c>
      <c r="G563" s="2">
        <v>46065</v>
      </c>
      <c r="H563" t="s">
        <v>28</v>
      </c>
      <c r="I563" s="3">
        <v>3227407</v>
      </c>
      <c r="J563">
        <v>775</v>
      </c>
      <c r="K563" t="s">
        <v>78</v>
      </c>
      <c r="L563" t="s">
        <v>21</v>
      </c>
      <c r="M563">
        <v>72</v>
      </c>
      <c r="N563" s="3">
        <v>18078.25</v>
      </c>
      <c r="O563" t="s">
        <v>22</v>
      </c>
    </row>
    <row r="564" spans="1:15" x14ac:dyDescent="0.2">
      <c r="A564" t="s">
        <v>885</v>
      </c>
      <c r="B564" t="s">
        <v>886</v>
      </c>
      <c r="C564">
        <v>55</v>
      </c>
      <c r="D564" t="s">
        <v>48</v>
      </c>
      <c r="E564" t="s">
        <v>17</v>
      </c>
      <c r="F564" t="s">
        <v>43</v>
      </c>
      <c r="G564" s="2">
        <v>46030</v>
      </c>
      <c r="H564" t="s">
        <v>28</v>
      </c>
      <c r="I564" s="3">
        <v>1105656</v>
      </c>
      <c r="J564">
        <v>828</v>
      </c>
      <c r="K564" t="s">
        <v>29</v>
      </c>
      <c r="L564" t="s">
        <v>38</v>
      </c>
      <c r="M564">
        <v>119</v>
      </c>
      <c r="N564" s="3">
        <v>11789.31</v>
      </c>
      <c r="O564" t="s">
        <v>22</v>
      </c>
    </row>
    <row r="565" spans="1:15" x14ac:dyDescent="0.2">
      <c r="A565" t="s">
        <v>887</v>
      </c>
      <c r="B565" t="s">
        <v>32</v>
      </c>
      <c r="C565">
        <v>22</v>
      </c>
      <c r="D565" t="s">
        <v>16</v>
      </c>
      <c r="E565" t="s">
        <v>56</v>
      </c>
      <c r="F565" t="s">
        <v>27</v>
      </c>
      <c r="G565" s="2">
        <v>45665</v>
      </c>
      <c r="H565" t="s">
        <v>52</v>
      </c>
      <c r="I565" s="3">
        <v>3816568</v>
      </c>
      <c r="J565">
        <v>791</v>
      </c>
      <c r="K565" t="s">
        <v>57</v>
      </c>
      <c r="L565" t="s">
        <v>45</v>
      </c>
      <c r="M565">
        <v>34</v>
      </c>
      <c r="N565" s="3">
        <v>5402.78</v>
      </c>
      <c r="O565" t="s">
        <v>22</v>
      </c>
    </row>
    <row r="566" spans="1:15" x14ac:dyDescent="0.2">
      <c r="A566" t="s">
        <v>888</v>
      </c>
      <c r="B566" t="s">
        <v>549</v>
      </c>
      <c r="C566">
        <v>60</v>
      </c>
      <c r="D566" t="s">
        <v>89</v>
      </c>
      <c r="E566" t="s">
        <v>26</v>
      </c>
      <c r="F566" t="s">
        <v>43</v>
      </c>
      <c r="G566" s="2">
        <v>45779</v>
      </c>
      <c r="H566" t="s">
        <v>44</v>
      </c>
      <c r="I566" s="3">
        <v>2042363</v>
      </c>
      <c r="J566">
        <v>732</v>
      </c>
      <c r="K566" t="s">
        <v>20</v>
      </c>
      <c r="L566" t="s">
        <v>21</v>
      </c>
      <c r="M566">
        <v>16</v>
      </c>
      <c r="N566" s="3">
        <v>6441.44</v>
      </c>
      <c r="O566" t="s">
        <v>22</v>
      </c>
    </row>
    <row r="567" spans="1:15" x14ac:dyDescent="0.2">
      <c r="A567" t="s">
        <v>889</v>
      </c>
      <c r="B567" t="s">
        <v>305</v>
      </c>
      <c r="C567">
        <v>43</v>
      </c>
      <c r="D567" t="s">
        <v>105</v>
      </c>
      <c r="E567" t="s">
        <v>83</v>
      </c>
      <c r="F567" t="s">
        <v>27</v>
      </c>
      <c r="G567" s="2">
        <v>46005</v>
      </c>
      <c r="H567" t="s">
        <v>28</v>
      </c>
      <c r="I567" s="3">
        <v>888922</v>
      </c>
      <c r="J567">
        <v>737</v>
      </c>
      <c r="K567" t="s">
        <v>29</v>
      </c>
      <c r="L567" t="s">
        <v>45</v>
      </c>
      <c r="M567">
        <v>105</v>
      </c>
      <c r="N567" s="3">
        <v>3069.04</v>
      </c>
      <c r="O567" t="s">
        <v>22</v>
      </c>
    </row>
    <row r="568" spans="1:15" x14ac:dyDescent="0.2">
      <c r="A568" t="s">
        <v>890</v>
      </c>
      <c r="B568" t="s">
        <v>164</v>
      </c>
      <c r="C568">
        <v>29</v>
      </c>
      <c r="D568" t="s">
        <v>55</v>
      </c>
      <c r="E568" t="s">
        <v>17</v>
      </c>
      <c r="F568" t="s">
        <v>18</v>
      </c>
      <c r="G568" s="2">
        <v>45747</v>
      </c>
      <c r="H568" t="s">
        <v>19</v>
      </c>
      <c r="I568" s="3">
        <v>1027867</v>
      </c>
      <c r="J568">
        <v>718</v>
      </c>
      <c r="K568" t="s">
        <v>57</v>
      </c>
      <c r="L568" t="s">
        <v>58</v>
      </c>
      <c r="M568">
        <v>13</v>
      </c>
      <c r="N568" s="3">
        <v>2692.45</v>
      </c>
      <c r="O568" t="s">
        <v>22</v>
      </c>
    </row>
    <row r="569" spans="1:15" x14ac:dyDescent="0.2">
      <c r="A569" t="s">
        <v>891</v>
      </c>
      <c r="B569" t="s">
        <v>167</v>
      </c>
      <c r="C569">
        <v>54</v>
      </c>
      <c r="D569" t="s">
        <v>105</v>
      </c>
      <c r="E569" t="s">
        <v>56</v>
      </c>
      <c r="F569" t="s">
        <v>27</v>
      </c>
      <c r="G569" s="2">
        <v>45973</v>
      </c>
      <c r="H569" t="s">
        <v>33</v>
      </c>
      <c r="I569" s="3">
        <v>4310861</v>
      </c>
      <c r="J569">
        <v>800</v>
      </c>
      <c r="K569" t="s">
        <v>92</v>
      </c>
      <c r="L569" t="s">
        <v>58</v>
      </c>
      <c r="M569">
        <v>87</v>
      </c>
      <c r="N569" s="3">
        <v>6558.49</v>
      </c>
      <c r="O569" t="s">
        <v>22</v>
      </c>
    </row>
    <row r="570" spans="1:15" x14ac:dyDescent="0.2">
      <c r="A570" t="s">
        <v>892</v>
      </c>
      <c r="B570" t="s">
        <v>217</v>
      </c>
      <c r="C570">
        <v>66</v>
      </c>
      <c r="D570" t="s">
        <v>105</v>
      </c>
      <c r="E570" t="s">
        <v>17</v>
      </c>
      <c r="F570" t="s">
        <v>27</v>
      </c>
      <c r="G570" s="2">
        <v>45835</v>
      </c>
      <c r="H570" t="s">
        <v>28</v>
      </c>
      <c r="I570" s="3">
        <v>3316461</v>
      </c>
      <c r="J570">
        <v>733</v>
      </c>
      <c r="K570" t="s">
        <v>78</v>
      </c>
      <c r="L570" t="s">
        <v>58</v>
      </c>
      <c r="M570">
        <v>76</v>
      </c>
      <c r="N570" s="3">
        <v>30089.32</v>
      </c>
      <c r="O570" t="s">
        <v>22</v>
      </c>
    </row>
    <row r="571" spans="1:15" x14ac:dyDescent="0.2">
      <c r="A571" t="s">
        <v>893</v>
      </c>
      <c r="B571" t="s">
        <v>41</v>
      </c>
      <c r="C571">
        <v>34</v>
      </c>
      <c r="D571" t="s">
        <v>55</v>
      </c>
      <c r="E571" t="s">
        <v>56</v>
      </c>
      <c r="F571" t="s">
        <v>27</v>
      </c>
      <c r="G571" s="2">
        <v>46197</v>
      </c>
      <c r="H571" t="s">
        <v>44</v>
      </c>
      <c r="I571" s="3">
        <v>2752884</v>
      </c>
      <c r="J571">
        <v>828</v>
      </c>
      <c r="K571" t="s">
        <v>57</v>
      </c>
      <c r="L571" t="s">
        <v>21</v>
      </c>
      <c r="M571">
        <v>91</v>
      </c>
      <c r="N571" s="3">
        <v>3023.37</v>
      </c>
      <c r="O571" t="s">
        <v>22</v>
      </c>
    </row>
    <row r="572" spans="1:15" x14ac:dyDescent="0.2">
      <c r="A572" t="s">
        <v>894</v>
      </c>
      <c r="B572" t="s">
        <v>127</v>
      </c>
      <c r="C572">
        <v>24</v>
      </c>
      <c r="D572" t="s">
        <v>48</v>
      </c>
      <c r="E572" t="s">
        <v>26</v>
      </c>
      <c r="F572" t="s">
        <v>43</v>
      </c>
      <c r="G572" s="2">
        <v>45698</v>
      </c>
      <c r="H572" t="s">
        <v>28</v>
      </c>
      <c r="I572" s="3">
        <v>1952424</v>
      </c>
      <c r="J572">
        <v>581</v>
      </c>
      <c r="K572" t="s">
        <v>20</v>
      </c>
      <c r="L572" t="s">
        <v>38</v>
      </c>
      <c r="M572">
        <v>22</v>
      </c>
      <c r="N572" s="3">
        <v>21551.24</v>
      </c>
      <c r="O572" t="s">
        <v>22</v>
      </c>
    </row>
    <row r="573" spans="1:15" x14ac:dyDescent="0.2">
      <c r="A573" t="s">
        <v>895</v>
      </c>
      <c r="B573" t="s">
        <v>183</v>
      </c>
      <c r="C573">
        <v>50</v>
      </c>
      <c r="D573" t="s">
        <v>128</v>
      </c>
      <c r="E573" t="s">
        <v>56</v>
      </c>
      <c r="F573" t="s">
        <v>27</v>
      </c>
      <c r="G573" s="2">
        <v>46159</v>
      </c>
      <c r="H573" t="s">
        <v>28</v>
      </c>
      <c r="I573" s="3">
        <v>3551643</v>
      </c>
      <c r="J573">
        <v>667</v>
      </c>
      <c r="K573" t="s">
        <v>34</v>
      </c>
      <c r="L573" t="s">
        <v>45</v>
      </c>
      <c r="M573">
        <v>96</v>
      </c>
      <c r="N573" s="3">
        <v>3870.42</v>
      </c>
      <c r="O573" t="s">
        <v>22</v>
      </c>
    </row>
    <row r="574" spans="1:15" x14ac:dyDescent="0.2">
      <c r="A574" t="s">
        <v>896</v>
      </c>
      <c r="B574" t="s">
        <v>161</v>
      </c>
      <c r="C574">
        <v>51</v>
      </c>
      <c r="D574" t="s">
        <v>55</v>
      </c>
      <c r="E574" t="s">
        <v>26</v>
      </c>
      <c r="F574" t="s">
        <v>27</v>
      </c>
      <c r="G574" s="2">
        <v>45802</v>
      </c>
      <c r="H574" t="s">
        <v>28</v>
      </c>
      <c r="I574" s="3">
        <v>4425252</v>
      </c>
      <c r="J574">
        <v>709</v>
      </c>
      <c r="K574" t="s">
        <v>29</v>
      </c>
      <c r="L574" t="s">
        <v>30</v>
      </c>
      <c r="M574">
        <v>113</v>
      </c>
      <c r="N574" s="3">
        <v>1372.06</v>
      </c>
      <c r="O574" t="s">
        <v>22</v>
      </c>
    </row>
    <row r="575" spans="1:15" x14ac:dyDescent="0.2">
      <c r="A575" t="s">
        <v>897</v>
      </c>
      <c r="B575" t="s">
        <v>183</v>
      </c>
      <c r="C575">
        <v>58</v>
      </c>
      <c r="D575" t="s">
        <v>37</v>
      </c>
      <c r="E575" t="s">
        <v>56</v>
      </c>
      <c r="F575" t="s">
        <v>43</v>
      </c>
      <c r="G575" s="2">
        <v>45858</v>
      </c>
      <c r="H575" t="s">
        <v>44</v>
      </c>
      <c r="I575" s="3">
        <v>1435560</v>
      </c>
      <c r="J575">
        <v>657</v>
      </c>
      <c r="K575" t="s">
        <v>67</v>
      </c>
      <c r="L575" t="s">
        <v>58</v>
      </c>
      <c r="M575">
        <v>27</v>
      </c>
      <c r="N575" s="3">
        <v>15897.7</v>
      </c>
      <c r="O575" t="s">
        <v>22</v>
      </c>
    </row>
    <row r="576" spans="1:15" x14ac:dyDescent="0.2">
      <c r="A576" t="s">
        <v>898</v>
      </c>
      <c r="B576" t="s">
        <v>142</v>
      </c>
      <c r="C576">
        <v>31</v>
      </c>
      <c r="D576" t="s">
        <v>37</v>
      </c>
      <c r="E576" t="s">
        <v>83</v>
      </c>
      <c r="F576" t="s">
        <v>27</v>
      </c>
      <c r="G576" s="2">
        <v>46118</v>
      </c>
      <c r="H576" t="s">
        <v>44</v>
      </c>
      <c r="I576" s="3">
        <v>2010968</v>
      </c>
      <c r="J576">
        <v>839</v>
      </c>
      <c r="K576" t="s">
        <v>29</v>
      </c>
      <c r="L576" t="s">
        <v>58</v>
      </c>
      <c r="M576">
        <v>64</v>
      </c>
      <c r="N576" s="3">
        <v>49523.69</v>
      </c>
      <c r="O576" t="s">
        <v>22</v>
      </c>
    </row>
    <row r="577" spans="1:15" x14ac:dyDescent="0.2">
      <c r="A577" t="s">
        <v>899</v>
      </c>
      <c r="B577" t="s">
        <v>512</v>
      </c>
      <c r="C577">
        <v>55</v>
      </c>
      <c r="D577" t="s">
        <v>70</v>
      </c>
      <c r="E577" t="s">
        <v>26</v>
      </c>
      <c r="F577" t="s">
        <v>100</v>
      </c>
      <c r="G577" s="2">
        <v>46215</v>
      </c>
      <c r="H577" t="s">
        <v>28</v>
      </c>
      <c r="I577" s="3">
        <v>1196301</v>
      </c>
      <c r="J577">
        <v>820</v>
      </c>
      <c r="K577" t="s">
        <v>29</v>
      </c>
      <c r="L577" t="s">
        <v>30</v>
      </c>
      <c r="M577">
        <v>2</v>
      </c>
      <c r="N577" s="3">
        <v>3646.34</v>
      </c>
      <c r="O577" t="s">
        <v>22</v>
      </c>
    </row>
    <row r="578" spans="1:15" x14ac:dyDescent="0.2">
      <c r="A578" t="s">
        <v>900</v>
      </c>
      <c r="B578" t="s">
        <v>901</v>
      </c>
      <c r="C578">
        <v>28</v>
      </c>
      <c r="D578" t="s">
        <v>75</v>
      </c>
      <c r="E578" t="s">
        <v>26</v>
      </c>
      <c r="F578" t="s">
        <v>100</v>
      </c>
      <c r="G578" s="2">
        <v>46204</v>
      </c>
      <c r="I578" s="3">
        <v>1117838</v>
      </c>
      <c r="J578">
        <v>720</v>
      </c>
      <c r="K578" t="s">
        <v>20</v>
      </c>
      <c r="L578" t="s">
        <v>30</v>
      </c>
      <c r="M578">
        <v>109</v>
      </c>
      <c r="N578" s="3">
        <v>1722.68</v>
      </c>
      <c r="O578" t="s">
        <v>22</v>
      </c>
    </row>
    <row r="579" spans="1:15" x14ac:dyDescent="0.2">
      <c r="A579" t="s">
        <v>902</v>
      </c>
      <c r="B579" t="s">
        <v>215</v>
      </c>
      <c r="C579">
        <v>23</v>
      </c>
      <c r="D579" t="s">
        <v>51</v>
      </c>
      <c r="E579" t="s">
        <v>56</v>
      </c>
      <c r="F579" t="s">
        <v>43</v>
      </c>
      <c r="G579" s="2">
        <v>45910</v>
      </c>
      <c r="H579" t="s">
        <v>28</v>
      </c>
      <c r="I579" s="3">
        <v>1307880</v>
      </c>
      <c r="J579">
        <v>807</v>
      </c>
      <c r="K579" t="s">
        <v>78</v>
      </c>
      <c r="L579" t="s">
        <v>21</v>
      </c>
      <c r="M579">
        <v>97</v>
      </c>
      <c r="N579" s="3">
        <v>14438.6</v>
      </c>
      <c r="O579" t="s">
        <v>22</v>
      </c>
    </row>
    <row r="580" spans="1:15" x14ac:dyDescent="0.2">
      <c r="A580" t="s">
        <v>903</v>
      </c>
      <c r="B580" t="s">
        <v>904</v>
      </c>
      <c r="C580">
        <v>34</v>
      </c>
      <c r="D580" t="s">
        <v>89</v>
      </c>
      <c r="E580" t="s">
        <v>26</v>
      </c>
      <c r="F580" t="s">
        <v>27</v>
      </c>
      <c r="G580" s="2">
        <v>46047</v>
      </c>
      <c r="H580" t="s">
        <v>33</v>
      </c>
      <c r="I580" s="3">
        <v>3337714</v>
      </c>
      <c r="J580">
        <v>742</v>
      </c>
      <c r="K580" t="s">
        <v>29</v>
      </c>
      <c r="L580" t="s">
        <v>45</v>
      </c>
      <c r="M580">
        <v>26</v>
      </c>
      <c r="N580" s="3">
        <v>3397.06</v>
      </c>
      <c r="O580" t="s">
        <v>22</v>
      </c>
    </row>
    <row r="581" spans="1:15" x14ac:dyDescent="0.2">
      <c r="A581" t="s">
        <v>905</v>
      </c>
      <c r="B581" t="s">
        <v>771</v>
      </c>
      <c r="C581">
        <v>33</v>
      </c>
      <c r="D581" t="s">
        <v>42</v>
      </c>
      <c r="E581" t="s">
        <v>56</v>
      </c>
      <c r="F581" t="s">
        <v>18</v>
      </c>
      <c r="G581" s="2">
        <v>46251</v>
      </c>
      <c r="H581" t="s">
        <v>28</v>
      </c>
      <c r="I581" s="3">
        <v>3728192</v>
      </c>
      <c r="J581">
        <v>815</v>
      </c>
      <c r="K581" t="s">
        <v>78</v>
      </c>
      <c r="L581" t="s">
        <v>58</v>
      </c>
      <c r="M581">
        <v>92</v>
      </c>
      <c r="N581" s="3">
        <v>15732.42</v>
      </c>
      <c r="O581" t="s">
        <v>22</v>
      </c>
    </row>
    <row r="582" spans="1:15" x14ac:dyDescent="0.2">
      <c r="A582" t="s">
        <v>906</v>
      </c>
      <c r="B582" t="s">
        <v>807</v>
      </c>
      <c r="C582">
        <v>65</v>
      </c>
      <c r="D582" t="s">
        <v>48</v>
      </c>
      <c r="E582" t="s">
        <v>26</v>
      </c>
      <c r="F582" t="s">
        <v>27</v>
      </c>
      <c r="G582" s="2">
        <v>45913</v>
      </c>
      <c r="H582" t="s">
        <v>52</v>
      </c>
      <c r="I582" s="3">
        <v>1821853</v>
      </c>
      <c r="J582">
        <v>707</v>
      </c>
      <c r="K582" t="s">
        <v>57</v>
      </c>
      <c r="L582" t="s">
        <v>38</v>
      </c>
      <c r="M582">
        <v>83</v>
      </c>
      <c r="N582" s="3">
        <v>30003.03</v>
      </c>
      <c r="O582" t="s">
        <v>22</v>
      </c>
    </row>
    <row r="583" spans="1:15" x14ac:dyDescent="0.2">
      <c r="A583" t="s">
        <v>907</v>
      </c>
      <c r="B583" t="s">
        <v>289</v>
      </c>
      <c r="C583">
        <v>52</v>
      </c>
      <c r="D583" t="s">
        <v>51</v>
      </c>
      <c r="E583" t="s">
        <v>26</v>
      </c>
      <c r="F583" t="s">
        <v>27</v>
      </c>
      <c r="G583" s="2">
        <v>46107</v>
      </c>
      <c r="H583" t="s">
        <v>28</v>
      </c>
      <c r="I583" s="3">
        <v>718224</v>
      </c>
      <c r="J583">
        <v>779</v>
      </c>
      <c r="K583" t="s">
        <v>92</v>
      </c>
      <c r="L583" t="s">
        <v>21</v>
      </c>
      <c r="M583">
        <v>107</v>
      </c>
      <c r="N583" s="3">
        <v>12671.98</v>
      </c>
      <c r="O583" t="s">
        <v>22</v>
      </c>
    </row>
    <row r="584" spans="1:15" x14ac:dyDescent="0.2">
      <c r="A584" t="s">
        <v>908</v>
      </c>
      <c r="B584" t="s">
        <v>369</v>
      </c>
      <c r="C584">
        <v>54</v>
      </c>
      <c r="D584" t="s">
        <v>55</v>
      </c>
      <c r="E584" t="s">
        <v>83</v>
      </c>
      <c r="F584" t="s">
        <v>27</v>
      </c>
      <c r="G584" s="2">
        <v>45667</v>
      </c>
      <c r="H584" t="s">
        <v>28</v>
      </c>
      <c r="I584" s="3">
        <v>3380576</v>
      </c>
      <c r="J584">
        <v>610</v>
      </c>
      <c r="K584" t="s">
        <v>67</v>
      </c>
      <c r="L584" t="s">
        <v>21</v>
      </c>
      <c r="M584">
        <v>69</v>
      </c>
      <c r="N584" s="3">
        <v>20957.599999999999</v>
      </c>
      <c r="O584" t="s">
        <v>22</v>
      </c>
    </row>
    <row r="585" spans="1:15" x14ac:dyDescent="0.2">
      <c r="A585" t="s">
        <v>909</v>
      </c>
      <c r="B585" t="s">
        <v>820</v>
      </c>
      <c r="C585">
        <v>65</v>
      </c>
      <c r="D585" t="s">
        <v>75</v>
      </c>
      <c r="E585" t="s">
        <v>17</v>
      </c>
      <c r="F585" t="s">
        <v>100</v>
      </c>
      <c r="G585" s="2">
        <v>45899</v>
      </c>
      <c r="H585" t="s">
        <v>28</v>
      </c>
      <c r="I585" s="3">
        <v>3490216</v>
      </c>
      <c r="J585">
        <v>717</v>
      </c>
      <c r="K585" t="s">
        <v>92</v>
      </c>
      <c r="L585" t="s">
        <v>38</v>
      </c>
      <c r="M585">
        <v>97</v>
      </c>
      <c r="N585" s="3">
        <v>21108.75</v>
      </c>
      <c r="O585" t="s">
        <v>22</v>
      </c>
    </row>
    <row r="586" spans="1:15" x14ac:dyDescent="0.2">
      <c r="A586" t="s">
        <v>910</v>
      </c>
      <c r="B586" t="s">
        <v>911</v>
      </c>
      <c r="C586">
        <v>39</v>
      </c>
      <c r="D586" t="s">
        <v>42</v>
      </c>
      <c r="E586" t="s">
        <v>56</v>
      </c>
      <c r="F586" t="s">
        <v>27</v>
      </c>
      <c r="G586" s="2">
        <v>45908</v>
      </c>
      <c r="H586" t="s">
        <v>28</v>
      </c>
      <c r="I586" s="3">
        <v>1557066</v>
      </c>
      <c r="J586">
        <v>600</v>
      </c>
      <c r="K586" t="s">
        <v>78</v>
      </c>
      <c r="L586" t="s">
        <v>38</v>
      </c>
      <c r="M586">
        <v>84</v>
      </c>
      <c r="N586" s="3">
        <v>25322.38</v>
      </c>
      <c r="O586" t="s">
        <v>22</v>
      </c>
    </row>
    <row r="587" spans="1:15" x14ac:dyDescent="0.2">
      <c r="A587" t="s">
        <v>912</v>
      </c>
      <c r="B587" t="s">
        <v>913</v>
      </c>
      <c r="C587">
        <v>58</v>
      </c>
      <c r="D587" t="s">
        <v>89</v>
      </c>
      <c r="E587" t="s">
        <v>26</v>
      </c>
      <c r="F587" t="s">
        <v>43</v>
      </c>
      <c r="G587" s="2">
        <v>45662</v>
      </c>
      <c r="H587" t="s">
        <v>19</v>
      </c>
      <c r="I587" s="3">
        <v>1035890</v>
      </c>
      <c r="J587">
        <v>813</v>
      </c>
      <c r="K587" t="s">
        <v>78</v>
      </c>
      <c r="L587" t="s">
        <v>38</v>
      </c>
      <c r="M587">
        <v>30</v>
      </c>
      <c r="N587" s="3">
        <v>9390.66</v>
      </c>
      <c r="O587" t="s">
        <v>22</v>
      </c>
    </row>
    <row r="588" spans="1:15" x14ac:dyDescent="0.2">
      <c r="A588" t="s">
        <v>914</v>
      </c>
      <c r="B588" t="s">
        <v>115</v>
      </c>
      <c r="C588">
        <v>36</v>
      </c>
      <c r="D588" t="s">
        <v>89</v>
      </c>
      <c r="E588" t="s">
        <v>17</v>
      </c>
      <c r="F588" t="s">
        <v>18</v>
      </c>
      <c r="G588" s="2">
        <v>45776</v>
      </c>
      <c r="H588" t="s">
        <v>28</v>
      </c>
      <c r="I588" s="3">
        <v>4337954</v>
      </c>
      <c r="J588">
        <v>781</v>
      </c>
      <c r="K588" t="s">
        <v>92</v>
      </c>
      <c r="L588" t="s">
        <v>30</v>
      </c>
      <c r="M588">
        <v>109</v>
      </c>
      <c r="N588" s="3">
        <v>20292.98</v>
      </c>
      <c r="O588" t="s">
        <v>22</v>
      </c>
    </row>
    <row r="589" spans="1:15" x14ac:dyDescent="0.2">
      <c r="A589" t="s">
        <v>915</v>
      </c>
      <c r="B589" t="s">
        <v>194</v>
      </c>
      <c r="C589">
        <v>22</v>
      </c>
      <c r="D589" t="s">
        <v>48</v>
      </c>
      <c r="E589" t="s">
        <v>17</v>
      </c>
      <c r="F589" t="s">
        <v>43</v>
      </c>
      <c r="G589" s="2">
        <v>46031</v>
      </c>
      <c r="H589" t="s">
        <v>28</v>
      </c>
      <c r="I589" s="3">
        <v>1172229</v>
      </c>
      <c r="J589">
        <v>710</v>
      </c>
      <c r="K589" t="s">
        <v>29</v>
      </c>
      <c r="L589" t="s">
        <v>58</v>
      </c>
      <c r="M589">
        <v>8</v>
      </c>
      <c r="N589" s="3">
        <v>10642.62</v>
      </c>
      <c r="O589" t="s">
        <v>22</v>
      </c>
    </row>
    <row r="590" spans="1:15" x14ac:dyDescent="0.2">
      <c r="A590" t="s">
        <v>916</v>
      </c>
      <c r="B590" t="s">
        <v>650</v>
      </c>
      <c r="C590">
        <v>60</v>
      </c>
      <c r="D590" t="s">
        <v>55</v>
      </c>
      <c r="E590" t="s">
        <v>17</v>
      </c>
      <c r="F590" t="s">
        <v>27</v>
      </c>
      <c r="G590" s="2">
        <v>45722</v>
      </c>
      <c r="H590" t="s">
        <v>28</v>
      </c>
      <c r="I590" s="3">
        <v>3088109</v>
      </c>
      <c r="J590">
        <v>727</v>
      </c>
      <c r="K590" t="s">
        <v>86</v>
      </c>
      <c r="L590" t="s">
        <v>30</v>
      </c>
      <c r="M590">
        <v>38</v>
      </c>
      <c r="N590" s="3">
        <v>13505.96</v>
      </c>
      <c r="O590" t="s">
        <v>22</v>
      </c>
    </row>
    <row r="591" spans="1:15" x14ac:dyDescent="0.2">
      <c r="A591" t="s">
        <v>917</v>
      </c>
      <c r="B591" t="s">
        <v>840</v>
      </c>
      <c r="C591">
        <v>37</v>
      </c>
      <c r="D591" t="s">
        <v>51</v>
      </c>
      <c r="E591" t="s">
        <v>17</v>
      </c>
      <c r="F591" t="s">
        <v>100</v>
      </c>
      <c r="G591" s="2">
        <v>45803</v>
      </c>
      <c r="H591" t="s">
        <v>28</v>
      </c>
      <c r="I591" s="3">
        <v>2853441</v>
      </c>
      <c r="J591">
        <v>608</v>
      </c>
      <c r="K591" t="s">
        <v>86</v>
      </c>
      <c r="L591" t="s">
        <v>58</v>
      </c>
      <c r="M591">
        <v>61</v>
      </c>
      <c r="N591" s="3">
        <v>220642.03</v>
      </c>
      <c r="O591" t="s">
        <v>22</v>
      </c>
    </row>
    <row r="592" spans="1:15" x14ac:dyDescent="0.2">
      <c r="A592" t="s">
        <v>918</v>
      </c>
      <c r="B592" t="s">
        <v>232</v>
      </c>
      <c r="C592">
        <v>54</v>
      </c>
      <c r="D592" t="s">
        <v>128</v>
      </c>
      <c r="E592" t="s">
        <v>17</v>
      </c>
      <c r="F592" t="s">
        <v>43</v>
      </c>
      <c r="G592" s="2">
        <v>45881</v>
      </c>
      <c r="H592" t="s">
        <v>28</v>
      </c>
      <c r="I592" s="3">
        <v>448017</v>
      </c>
      <c r="J592">
        <v>741</v>
      </c>
      <c r="K592" t="s">
        <v>20</v>
      </c>
      <c r="L592" t="s">
        <v>30</v>
      </c>
      <c r="M592">
        <v>81</v>
      </c>
      <c r="N592" s="3">
        <v>11541.22</v>
      </c>
      <c r="O592" t="s">
        <v>22</v>
      </c>
    </row>
    <row r="593" spans="1:15" x14ac:dyDescent="0.2">
      <c r="A593" t="s">
        <v>919</v>
      </c>
      <c r="B593" t="s">
        <v>96</v>
      </c>
      <c r="C593">
        <v>62</v>
      </c>
      <c r="D593" t="s">
        <v>51</v>
      </c>
      <c r="E593" t="s">
        <v>26</v>
      </c>
      <c r="F593" t="s">
        <v>43</v>
      </c>
      <c r="G593" s="2">
        <v>45896</v>
      </c>
      <c r="H593" t="s">
        <v>28</v>
      </c>
      <c r="I593" s="3">
        <v>3993757</v>
      </c>
      <c r="J593">
        <v>640</v>
      </c>
      <c r="K593" t="s">
        <v>67</v>
      </c>
      <c r="L593" t="s">
        <v>45</v>
      </c>
      <c r="M593">
        <v>108</v>
      </c>
      <c r="N593" s="3">
        <v>1858.18</v>
      </c>
      <c r="O593" t="s">
        <v>22</v>
      </c>
    </row>
    <row r="594" spans="1:15" x14ac:dyDescent="0.2">
      <c r="A594" t="s">
        <v>920</v>
      </c>
      <c r="B594" t="s">
        <v>921</v>
      </c>
      <c r="C594">
        <v>36</v>
      </c>
      <c r="D594" t="s">
        <v>51</v>
      </c>
      <c r="E594" t="s">
        <v>26</v>
      </c>
      <c r="F594" t="s">
        <v>27</v>
      </c>
      <c r="G594" s="2">
        <v>45834</v>
      </c>
      <c r="H594" t="s">
        <v>33</v>
      </c>
      <c r="I594" s="3">
        <v>3118921</v>
      </c>
      <c r="J594">
        <v>704</v>
      </c>
      <c r="K594" t="s">
        <v>34</v>
      </c>
      <c r="L594" t="s">
        <v>58</v>
      </c>
      <c r="M594">
        <v>65</v>
      </c>
      <c r="N594" s="3">
        <v>7278.72</v>
      </c>
      <c r="O594" t="s">
        <v>22</v>
      </c>
    </row>
    <row r="595" spans="1:15" x14ac:dyDescent="0.2">
      <c r="A595" t="s">
        <v>922</v>
      </c>
      <c r="B595" t="s">
        <v>578</v>
      </c>
      <c r="C595">
        <v>58</v>
      </c>
      <c r="D595" t="s">
        <v>89</v>
      </c>
      <c r="E595" t="s">
        <v>56</v>
      </c>
      <c r="F595" t="s">
        <v>43</v>
      </c>
      <c r="G595" s="2">
        <v>45939</v>
      </c>
      <c r="H595" t="s">
        <v>33</v>
      </c>
      <c r="I595" s="3">
        <v>3253225</v>
      </c>
      <c r="J595">
        <v>650</v>
      </c>
      <c r="K595" t="s">
        <v>92</v>
      </c>
      <c r="L595" t="s">
        <v>21</v>
      </c>
      <c r="M595">
        <v>67</v>
      </c>
      <c r="N595" s="3">
        <v>6463.64</v>
      </c>
      <c r="O595" t="s">
        <v>39</v>
      </c>
    </row>
    <row r="596" spans="1:15" x14ac:dyDescent="0.2">
      <c r="A596" t="s">
        <v>923</v>
      </c>
      <c r="B596" t="s">
        <v>501</v>
      </c>
      <c r="C596">
        <v>22</v>
      </c>
      <c r="D596" t="s">
        <v>128</v>
      </c>
      <c r="E596" t="s">
        <v>26</v>
      </c>
      <c r="F596" t="s">
        <v>27</v>
      </c>
      <c r="G596" s="2">
        <v>45720</v>
      </c>
      <c r="H596" t="s">
        <v>28</v>
      </c>
      <c r="I596" s="3">
        <v>2579518</v>
      </c>
      <c r="J596">
        <v>822</v>
      </c>
      <c r="K596" t="s">
        <v>92</v>
      </c>
      <c r="L596" t="s">
        <v>58</v>
      </c>
      <c r="M596">
        <v>46</v>
      </c>
      <c r="N596" s="3">
        <v>6781.59</v>
      </c>
      <c r="O596" t="s">
        <v>39</v>
      </c>
    </row>
    <row r="597" spans="1:15" x14ac:dyDescent="0.2">
      <c r="A597" t="s">
        <v>924</v>
      </c>
      <c r="B597" t="s">
        <v>709</v>
      </c>
      <c r="C597">
        <v>22</v>
      </c>
      <c r="D597" t="s">
        <v>128</v>
      </c>
      <c r="E597" t="s">
        <v>17</v>
      </c>
      <c r="F597" t="s">
        <v>27</v>
      </c>
      <c r="G597" s="2">
        <v>45874</v>
      </c>
      <c r="H597" t="s">
        <v>28</v>
      </c>
      <c r="I597" s="3">
        <v>4478316</v>
      </c>
      <c r="J597">
        <v>828</v>
      </c>
      <c r="K597" t="s">
        <v>20</v>
      </c>
      <c r="L597" t="s">
        <v>58</v>
      </c>
      <c r="M597">
        <v>90</v>
      </c>
      <c r="N597" s="3">
        <v>24370.16</v>
      </c>
      <c r="O597" t="s">
        <v>22</v>
      </c>
    </row>
    <row r="598" spans="1:15" x14ac:dyDescent="0.2">
      <c r="A598" t="s">
        <v>925</v>
      </c>
      <c r="B598" t="s">
        <v>864</v>
      </c>
      <c r="C598">
        <v>46</v>
      </c>
      <c r="D598" t="s">
        <v>48</v>
      </c>
      <c r="E598" t="s">
        <v>26</v>
      </c>
      <c r="F598" t="s">
        <v>27</v>
      </c>
      <c r="G598" s="2">
        <v>46118</v>
      </c>
      <c r="H598" t="s">
        <v>19</v>
      </c>
      <c r="I598" s="3">
        <v>916775</v>
      </c>
      <c r="J598">
        <v>800</v>
      </c>
      <c r="K598" t="s">
        <v>67</v>
      </c>
      <c r="L598" t="s">
        <v>58</v>
      </c>
      <c r="M598">
        <v>95</v>
      </c>
      <c r="N598" s="3">
        <v>29352.15</v>
      </c>
      <c r="O598" t="s">
        <v>39</v>
      </c>
    </row>
    <row r="599" spans="1:15" x14ac:dyDescent="0.2">
      <c r="A599" t="s">
        <v>926</v>
      </c>
      <c r="B599" t="s">
        <v>927</v>
      </c>
      <c r="C599">
        <v>33</v>
      </c>
      <c r="D599" t="s">
        <v>42</v>
      </c>
      <c r="E599" t="s">
        <v>17</v>
      </c>
      <c r="F599" t="s">
        <v>18</v>
      </c>
      <c r="G599" s="2">
        <v>45762</v>
      </c>
      <c r="H599" t="s">
        <v>28</v>
      </c>
      <c r="I599" s="3">
        <v>3828478</v>
      </c>
      <c r="J599">
        <v>600</v>
      </c>
      <c r="K599" t="s">
        <v>86</v>
      </c>
      <c r="L599" t="s">
        <v>45</v>
      </c>
      <c r="M599">
        <v>72</v>
      </c>
      <c r="N599" s="3">
        <v>8015.1</v>
      </c>
      <c r="O599" t="s">
        <v>22</v>
      </c>
    </row>
    <row r="600" spans="1:15" x14ac:dyDescent="0.2">
      <c r="A600" t="s">
        <v>928</v>
      </c>
      <c r="B600" t="s">
        <v>911</v>
      </c>
      <c r="C600">
        <v>67</v>
      </c>
      <c r="D600" t="s">
        <v>25</v>
      </c>
      <c r="E600" t="s">
        <v>56</v>
      </c>
      <c r="F600" t="s">
        <v>27</v>
      </c>
      <c r="G600" s="2">
        <v>45756</v>
      </c>
      <c r="H600" t="s">
        <v>28</v>
      </c>
      <c r="I600" s="3">
        <v>704529</v>
      </c>
      <c r="J600">
        <v>661</v>
      </c>
      <c r="K600" t="s">
        <v>57</v>
      </c>
      <c r="L600" t="s">
        <v>30</v>
      </c>
      <c r="M600">
        <v>43</v>
      </c>
      <c r="N600" s="3">
        <v>2076.69</v>
      </c>
      <c r="O600" t="s">
        <v>22</v>
      </c>
    </row>
    <row r="601" spans="1:15" x14ac:dyDescent="0.2">
      <c r="A601" t="s">
        <v>929</v>
      </c>
      <c r="B601" t="s">
        <v>930</v>
      </c>
      <c r="C601">
        <v>51</v>
      </c>
      <c r="D601" t="s">
        <v>105</v>
      </c>
      <c r="E601" t="s">
        <v>26</v>
      </c>
      <c r="F601" t="s">
        <v>27</v>
      </c>
      <c r="G601" s="2">
        <v>46168</v>
      </c>
      <c r="H601" t="s">
        <v>28</v>
      </c>
      <c r="I601" s="3">
        <v>2594218</v>
      </c>
      <c r="J601">
        <v>589</v>
      </c>
      <c r="K601" t="s">
        <v>29</v>
      </c>
      <c r="L601" t="s">
        <v>21</v>
      </c>
      <c r="M601">
        <v>59</v>
      </c>
      <c r="N601" s="3">
        <v>9937.2999999999993</v>
      </c>
      <c r="O601" t="s">
        <v>22</v>
      </c>
    </row>
    <row r="602" spans="1:15" x14ac:dyDescent="0.2">
      <c r="A602" t="s">
        <v>931</v>
      </c>
      <c r="B602" t="s">
        <v>481</v>
      </c>
      <c r="C602">
        <v>54</v>
      </c>
      <c r="D602" t="s">
        <v>105</v>
      </c>
      <c r="E602" t="s">
        <v>26</v>
      </c>
      <c r="F602" t="s">
        <v>43</v>
      </c>
      <c r="G602" s="2">
        <v>46042</v>
      </c>
      <c r="H602" t="s">
        <v>28</v>
      </c>
      <c r="I602" s="3">
        <v>3111129</v>
      </c>
      <c r="J602">
        <v>591</v>
      </c>
      <c r="K602" t="s">
        <v>29</v>
      </c>
      <c r="L602" t="s">
        <v>30</v>
      </c>
      <c r="M602">
        <v>46</v>
      </c>
      <c r="N602" s="3">
        <v>5061.62</v>
      </c>
      <c r="O602" t="s">
        <v>22</v>
      </c>
    </row>
    <row r="603" spans="1:15" x14ac:dyDescent="0.2">
      <c r="A603" t="s">
        <v>932</v>
      </c>
      <c r="B603" t="s">
        <v>492</v>
      </c>
      <c r="C603">
        <v>59</v>
      </c>
      <c r="D603" t="s">
        <v>89</v>
      </c>
      <c r="E603" t="s">
        <v>26</v>
      </c>
      <c r="F603" t="s">
        <v>18</v>
      </c>
      <c r="G603" s="2">
        <v>46062</v>
      </c>
      <c r="H603" t="s">
        <v>52</v>
      </c>
      <c r="I603" s="3">
        <v>1361766</v>
      </c>
      <c r="J603">
        <v>842</v>
      </c>
      <c r="K603" t="s">
        <v>57</v>
      </c>
      <c r="L603" t="s">
        <v>30</v>
      </c>
      <c r="M603">
        <v>72</v>
      </c>
      <c r="N603" s="3">
        <v>11169.31</v>
      </c>
      <c r="O603" t="s">
        <v>22</v>
      </c>
    </row>
    <row r="604" spans="1:15" x14ac:dyDescent="0.2">
      <c r="A604" t="s">
        <v>933</v>
      </c>
      <c r="B604" t="s">
        <v>15</v>
      </c>
      <c r="C604">
        <v>23</v>
      </c>
      <c r="D604" t="s">
        <v>25</v>
      </c>
      <c r="E604" t="s">
        <v>17</v>
      </c>
      <c r="F604" t="s">
        <v>27</v>
      </c>
      <c r="G604" s="2">
        <v>46175</v>
      </c>
      <c r="H604" t="s">
        <v>28</v>
      </c>
      <c r="I604" s="3">
        <v>3671147</v>
      </c>
      <c r="J604">
        <v>724</v>
      </c>
      <c r="K604" t="s">
        <v>57</v>
      </c>
      <c r="L604" t="s">
        <v>38</v>
      </c>
      <c r="M604">
        <v>35</v>
      </c>
      <c r="N604" s="3">
        <v>7887.15</v>
      </c>
      <c r="O604" t="s">
        <v>22</v>
      </c>
    </row>
    <row r="605" spans="1:15" x14ac:dyDescent="0.2">
      <c r="A605" t="s">
        <v>934</v>
      </c>
      <c r="B605" t="s">
        <v>713</v>
      </c>
      <c r="C605">
        <v>28</v>
      </c>
      <c r="D605" t="s">
        <v>42</v>
      </c>
      <c r="E605" t="s">
        <v>56</v>
      </c>
      <c r="F605" t="s">
        <v>43</v>
      </c>
      <c r="G605" s="2">
        <v>46133</v>
      </c>
      <c r="H605" t="s">
        <v>52</v>
      </c>
      <c r="I605" s="3">
        <v>789203</v>
      </c>
      <c r="J605">
        <v>771</v>
      </c>
      <c r="K605" t="s">
        <v>67</v>
      </c>
      <c r="L605" t="s">
        <v>45</v>
      </c>
      <c r="M605">
        <v>39</v>
      </c>
      <c r="N605" s="3">
        <v>32118.12</v>
      </c>
      <c r="O605" t="s">
        <v>22</v>
      </c>
    </row>
    <row r="606" spans="1:15" x14ac:dyDescent="0.2">
      <c r="A606" t="s">
        <v>935</v>
      </c>
      <c r="B606" t="s">
        <v>201</v>
      </c>
      <c r="C606">
        <v>43</v>
      </c>
      <c r="D606" t="s">
        <v>25</v>
      </c>
      <c r="E606" t="s">
        <v>26</v>
      </c>
      <c r="F606" t="s">
        <v>27</v>
      </c>
      <c r="G606" s="2">
        <v>46094</v>
      </c>
      <c r="H606" t="s">
        <v>28</v>
      </c>
      <c r="I606" s="3">
        <v>1561629</v>
      </c>
      <c r="J606">
        <v>829</v>
      </c>
      <c r="K606" t="s">
        <v>86</v>
      </c>
      <c r="L606" t="s">
        <v>38</v>
      </c>
      <c r="M606">
        <v>92</v>
      </c>
      <c r="N606" s="3">
        <v>11950.74</v>
      </c>
      <c r="O606" t="s">
        <v>22</v>
      </c>
    </row>
    <row r="607" spans="1:15" x14ac:dyDescent="0.2">
      <c r="A607" t="s">
        <v>936</v>
      </c>
      <c r="B607" t="s">
        <v>375</v>
      </c>
      <c r="C607">
        <v>34</v>
      </c>
      <c r="D607" t="s">
        <v>48</v>
      </c>
      <c r="E607" t="s">
        <v>56</v>
      </c>
      <c r="F607" t="s">
        <v>27</v>
      </c>
      <c r="G607" s="2">
        <v>45680</v>
      </c>
      <c r="H607" t="s">
        <v>28</v>
      </c>
      <c r="I607" s="3">
        <v>1150542</v>
      </c>
      <c r="J607">
        <v>693</v>
      </c>
      <c r="K607" t="s">
        <v>20</v>
      </c>
      <c r="L607" t="s">
        <v>45</v>
      </c>
      <c r="M607">
        <v>51</v>
      </c>
      <c r="N607" s="3">
        <v>5078.6400000000003</v>
      </c>
      <c r="O607" t="s">
        <v>22</v>
      </c>
    </row>
    <row r="608" spans="1:15" x14ac:dyDescent="0.2">
      <c r="A608" t="s">
        <v>937</v>
      </c>
      <c r="B608" t="s">
        <v>348</v>
      </c>
      <c r="C608">
        <v>47</v>
      </c>
      <c r="D608" t="s">
        <v>51</v>
      </c>
      <c r="E608" t="s">
        <v>26</v>
      </c>
      <c r="F608" t="s">
        <v>27</v>
      </c>
      <c r="G608" s="2">
        <v>46222</v>
      </c>
      <c r="H608" t="s">
        <v>52</v>
      </c>
      <c r="I608" s="3">
        <v>3461636</v>
      </c>
      <c r="J608">
        <v>605</v>
      </c>
      <c r="K608" t="s">
        <v>57</v>
      </c>
      <c r="L608" t="s">
        <v>30</v>
      </c>
      <c r="M608">
        <v>4</v>
      </c>
      <c r="N608" s="3">
        <v>2090.5700000000002</v>
      </c>
      <c r="O608" t="s">
        <v>22</v>
      </c>
    </row>
    <row r="609" spans="1:15" x14ac:dyDescent="0.2">
      <c r="A609" t="s">
        <v>938</v>
      </c>
      <c r="B609" t="s">
        <v>778</v>
      </c>
      <c r="C609">
        <v>49</v>
      </c>
      <c r="D609" t="s">
        <v>89</v>
      </c>
      <c r="E609" t="s">
        <v>26</v>
      </c>
      <c r="F609" t="s">
        <v>18</v>
      </c>
      <c r="G609" s="2">
        <v>46115</v>
      </c>
      <c r="H609" t="s">
        <v>28</v>
      </c>
      <c r="I609" s="3">
        <v>4204780</v>
      </c>
      <c r="J609">
        <v>850</v>
      </c>
      <c r="K609" t="s">
        <v>20</v>
      </c>
      <c r="L609" t="s">
        <v>30</v>
      </c>
      <c r="M609">
        <v>80</v>
      </c>
      <c r="N609" s="3">
        <v>8515</v>
      </c>
      <c r="O609" t="s">
        <v>22</v>
      </c>
    </row>
    <row r="610" spans="1:15" x14ac:dyDescent="0.2">
      <c r="A610" t="s">
        <v>939</v>
      </c>
      <c r="B610" t="s">
        <v>588</v>
      </c>
      <c r="C610">
        <v>59</v>
      </c>
      <c r="D610" t="s">
        <v>128</v>
      </c>
      <c r="E610" t="s">
        <v>83</v>
      </c>
      <c r="F610" t="s">
        <v>27</v>
      </c>
      <c r="G610" s="2">
        <v>45740</v>
      </c>
      <c r="H610" t="s">
        <v>33</v>
      </c>
      <c r="I610" s="3">
        <v>4478416</v>
      </c>
      <c r="J610">
        <v>612</v>
      </c>
      <c r="K610" t="s">
        <v>67</v>
      </c>
      <c r="L610" t="s">
        <v>45</v>
      </c>
      <c r="M610">
        <v>77</v>
      </c>
      <c r="N610" s="3">
        <v>8547.0400000000009</v>
      </c>
      <c r="O610" t="s">
        <v>22</v>
      </c>
    </row>
    <row r="611" spans="1:15" x14ac:dyDescent="0.2">
      <c r="A611" t="s">
        <v>940</v>
      </c>
      <c r="B611" t="s">
        <v>460</v>
      </c>
      <c r="C611">
        <v>59</v>
      </c>
      <c r="D611" t="s">
        <v>37</v>
      </c>
      <c r="E611" t="s">
        <v>26</v>
      </c>
      <c r="F611" t="s">
        <v>27</v>
      </c>
      <c r="G611" s="2">
        <v>45802</v>
      </c>
      <c r="H611" t="s">
        <v>28</v>
      </c>
      <c r="I611" s="3">
        <v>3195759</v>
      </c>
      <c r="J611">
        <v>641</v>
      </c>
      <c r="K611" t="s">
        <v>34</v>
      </c>
      <c r="L611" t="s">
        <v>30</v>
      </c>
      <c r="M611">
        <v>84</v>
      </c>
      <c r="N611" s="3">
        <v>6798.22</v>
      </c>
      <c r="O611" t="s">
        <v>22</v>
      </c>
    </row>
    <row r="612" spans="1:15" x14ac:dyDescent="0.2">
      <c r="A612" t="s">
        <v>941</v>
      </c>
      <c r="B612" t="s">
        <v>942</v>
      </c>
      <c r="C612">
        <v>21</v>
      </c>
      <c r="D612" t="s">
        <v>89</v>
      </c>
      <c r="E612" t="s">
        <v>26</v>
      </c>
      <c r="F612" t="s">
        <v>27</v>
      </c>
      <c r="G612" s="2">
        <v>45742</v>
      </c>
      <c r="H612" t="s">
        <v>52</v>
      </c>
      <c r="I612" s="3">
        <v>544768</v>
      </c>
      <c r="J612">
        <v>808</v>
      </c>
      <c r="K612" t="s">
        <v>78</v>
      </c>
      <c r="L612" t="s">
        <v>30</v>
      </c>
      <c r="M612">
        <v>51</v>
      </c>
      <c r="N612" s="3">
        <v>20213.18</v>
      </c>
      <c r="O612" t="s">
        <v>22</v>
      </c>
    </row>
    <row r="613" spans="1:15" x14ac:dyDescent="0.2">
      <c r="A613" t="s">
        <v>943</v>
      </c>
      <c r="B613" t="s">
        <v>944</v>
      </c>
      <c r="C613">
        <v>37</v>
      </c>
      <c r="D613" t="s">
        <v>105</v>
      </c>
      <c r="E613" t="s">
        <v>26</v>
      </c>
      <c r="F613" t="s">
        <v>18</v>
      </c>
      <c r="G613" s="2">
        <v>45735</v>
      </c>
      <c r="H613" t="s">
        <v>28</v>
      </c>
      <c r="I613" s="3">
        <v>3602921</v>
      </c>
      <c r="J613">
        <v>674</v>
      </c>
      <c r="K613" t="s">
        <v>29</v>
      </c>
      <c r="L613" t="s">
        <v>21</v>
      </c>
      <c r="M613">
        <v>5</v>
      </c>
      <c r="N613" s="3">
        <v>2096.62</v>
      </c>
      <c r="O613" t="s">
        <v>22</v>
      </c>
    </row>
    <row r="614" spans="1:15" x14ac:dyDescent="0.2">
      <c r="A614" t="s">
        <v>945</v>
      </c>
      <c r="B614" t="s">
        <v>96</v>
      </c>
      <c r="C614">
        <v>61</v>
      </c>
      <c r="D614" t="s">
        <v>42</v>
      </c>
      <c r="E614" t="s">
        <v>26</v>
      </c>
      <c r="F614" t="s">
        <v>27</v>
      </c>
      <c r="G614" s="2">
        <v>46114</v>
      </c>
      <c r="H614" t="s">
        <v>44</v>
      </c>
      <c r="I614" s="3">
        <v>311264</v>
      </c>
      <c r="J614">
        <v>614</v>
      </c>
      <c r="K614" t="s">
        <v>86</v>
      </c>
      <c r="L614" t="s">
        <v>38</v>
      </c>
      <c r="M614">
        <v>55</v>
      </c>
      <c r="N614" s="3">
        <v>4021.17</v>
      </c>
      <c r="O614" t="s">
        <v>22</v>
      </c>
    </row>
    <row r="615" spans="1:15" x14ac:dyDescent="0.2">
      <c r="A615" t="s">
        <v>946</v>
      </c>
      <c r="B615" t="s">
        <v>652</v>
      </c>
      <c r="C615">
        <v>50</v>
      </c>
      <c r="D615" t="s">
        <v>25</v>
      </c>
      <c r="E615" t="s">
        <v>26</v>
      </c>
      <c r="F615" t="s">
        <v>27</v>
      </c>
      <c r="G615" s="2">
        <v>45658</v>
      </c>
      <c r="H615" t="s">
        <v>28</v>
      </c>
      <c r="I615" s="3">
        <v>2709507</v>
      </c>
      <c r="J615">
        <v>772</v>
      </c>
      <c r="K615" t="s">
        <v>29</v>
      </c>
      <c r="L615" t="s">
        <v>38</v>
      </c>
      <c r="M615">
        <v>101</v>
      </c>
      <c r="N615" s="3">
        <v>9466.9599999999991</v>
      </c>
      <c r="O615" t="s">
        <v>22</v>
      </c>
    </row>
    <row r="616" spans="1:15" x14ac:dyDescent="0.2">
      <c r="A616" t="s">
        <v>947</v>
      </c>
      <c r="B616" t="s">
        <v>622</v>
      </c>
      <c r="C616">
        <v>33</v>
      </c>
      <c r="D616" t="s">
        <v>42</v>
      </c>
      <c r="E616" t="s">
        <v>26</v>
      </c>
      <c r="F616" t="s">
        <v>27</v>
      </c>
      <c r="G616" s="2">
        <v>45708</v>
      </c>
      <c r="H616" t="s">
        <v>44</v>
      </c>
      <c r="I616" s="3">
        <v>3702097</v>
      </c>
      <c r="J616">
        <v>655</v>
      </c>
      <c r="K616" t="s">
        <v>86</v>
      </c>
      <c r="L616" t="s">
        <v>38</v>
      </c>
      <c r="M616">
        <v>20</v>
      </c>
      <c r="N616" s="3">
        <v>4976.67</v>
      </c>
      <c r="O616" t="s">
        <v>22</v>
      </c>
    </row>
    <row r="617" spans="1:15" x14ac:dyDescent="0.2">
      <c r="A617" t="s">
        <v>948</v>
      </c>
      <c r="B617" t="s">
        <v>156</v>
      </c>
      <c r="C617">
        <v>41</v>
      </c>
      <c r="D617" t="s">
        <v>48</v>
      </c>
      <c r="E617" t="s">
        <v>17</v>
      </c>
      <c r="F617" t="s">
        <v>27</v>
      </c>
      <c r="G617" s="2">
        <v>46103</v>
      </c>
      <c r="H617" t="s">
        <v>28</v>
      </c>
      <c r="I617" s="3">
        <v>3601191</v>
      </c>
      <c r="J617">
        <v>828</v>
      </c>
      <c r="K617" t="s">
        <v>67</v>
      </c>
      <c r="L617" t="s">
        <v>58</v>
      </c>
      <c r="M617">
        <v>24</v>
      </c>
      <c r="N617" s="3">
        <v>6157.68</v>
      </c>
      <c r="O617" t="s">
        <v>22</v>
      </c>
    </row>
    <row r="618" spans="1:15" x14ac:dyDescent="0.2">
      <c r="A618" t="s">
        <v>949</v>
      </c>
      <c r="B618" t="s">
        <v>713</v>
      </c>
      <c r="C618">
        <v>39</v>
      </c>
      <c r="D618" t="s">
        <v>89</v>
      </c>
      <c r="E618" t="s">
        <v>26</v>
      </c>
      <c r="F618" t="s">
        <v>43</v>
      </c>
      <c r="G618" s="2">
        <v>46106</v>
      </c>
      <c r="H618" t="s">
        <v>52</v>
      </c>
      <c r="I618" s="3">
        <v>1468284</v>
      </c>
      <c r="J618">
        <v>662</v>
      </c>
      <c r="K618" t="s">
        <v>78</v>
      </c>
      <c r="L618" t="s">
        <v>21</v>
      </c>
      <c r="M618">
        <v>36</v>
      </c>
      <c r="N618" s="3">
        <v>8406.2900000000009</v>
      </c>
      <c r="O618" t="s">
        <v>22</v>
      </c>
    </row>
    <row r="619" spans="1:15" x14ac:dyDescent="0.2">
      <c r="A619" t="s">
        <v>950</v>
      </c>
      <c r="B619" t="s">
        <v>951</v>
      </c>
      <c r="C619">
        <v>39</v>
      </c>
      <c r="D619" t="s">
        <v>55</v>
      </c>
      <c r="E619" t="s">
        <v>17</v>
      </c>
      <c r="F619" t="s">
        <v>43</v>
      </c>
      <c r="G619" s="2">
        <v>46145</v>
      </c>
      <c r="H619" t="s">
        <v>28</v>
      </c>
      <c r="I619" s="3">
        <v>3330202</v>
      </c>
      <c r="J619">
        <v>604</v>
      </c>
      <c r="K619" t="s">
        <v>29</v>
      </c>
      <c r="L619" t="s">
        <v>38</v>
      </c>
      <c r="M619">
        <v>34</v>
      </c>
      <c r="N619" s="3">
        <v>18402.89</v>
      </c>
      <c r="O619" t="s">
        <v>22</v>
      </c>
    </row>
    <row r="620" spans="1:15" x14ac:dyDescent="0.2">
      <c r="A620" t="s">
        <v>952</v>
      </c>
      <c r="B620" t="s">
        <v>303</v>
      </c>
      <c r="C620">
        <v>45</v>
      </c>
      <c r="D620" t="s">
        <v>89</v>
      </c>
      <c r="E620" t="s">
        <v>26</v>
      </c>
      <c r="F620" t="s">
        <v>27</v>
      </c>
      <c r="G620" s="2">
        <v>45691</v>
      </c>
      <c r="H620" t="s">
        <v>44</v>
      </c>
      <c r="I620" s="3">
        <v>3971993</v>
      </c>
      <c r="J620">
        <v>636</v>
      </c>
      <c r="K620" t="s">
        <v>78</v>
      </c>
      <c r="L620" t="s">
        <v>38</v>
      </c>
      <c r="M620">
        <v>109</v>
      </c>
      <c r="N620" s="3">
        <v>8057.81</v>
      </c>
      <c r="O620" t="s">
        <v>22</v>
      </c>
    </row>
    <row r="621" spans="1:15" x14ac:dyDescent="0.2">
      <c r="A621" t="s">
        <v>953</v>
      </c>
      <c r="B621" t="s">
        <v>954</v>
      </c>
      <c r="C621">
        <v>42</v>
      </c>
      <c r="D621" t="s">
        <v>128</v>
      </c>
      <c r="E621" t="s">
        <v>26</v>
      </c>
      <c r="F621" t="s">
        <v>27</v>
      </c>
      <c r="G621" s="2">
        <v>46005</v>
      </c>
      <c r="H621" t="s">
        <v>28</v>
      </c>
      <c r="I621" s="3">
        <v>2198058</v>
      </c>
      <c r="J621">
        <v>611</v>
      </c>
      <c r="K621" t="s">
        <v>67</v>
      </c>
      <c r="L621" t="s">
        <v>21</v>
      </c>
      <c r="M621">
        <v>112</v>
      </c>
      <c r="N621" s="3">
        <v>1132.0999999999999</v>
      </c>
      <c r="O621" t="s">
        <v>22</v>
      </c>
    </row>
    <row r="622" spans="1:15" x14ac:dyDescent="0.2">
      <c r="A622" t="s">
        <v>955</v>
      </c>
      <c r="B622" t="s">
        <v>364</v>
      </c>
      <c r="C622">
        <v>51</v>
      </c>
      <c r="D622" t="s">
        <v>89</v>
      </c>
      <c r="E622" t="s">
        <v>17</v>
      </c>
      <c r="F622" t="s">
        <v>27</v>
      </c>
      <c r="G622" s="2">
        <v>45752</v>
      </c>
      <c r="I622" s="3">
        <v>872207</v>
      </c>
      <c r="J622">
        <v>591</v>
      </c>
      <c r="K622" t="s">
        <v>86</v>
      </c>
      <c r="L622" t="s">
        <v>30</v>
      </c>
      <c r="M622">
        <v>54</v>
      </c>
      <c r="N622" s="3">
        <v>4755.53</v>
      </c>
      <c r="O622" t="s">
        <v>22</v>
      </c>
    </row>
    <row r="623" spans="1:15" x14ac:dyDescent="0.2">
      <c r="A623" t="s">
        <v>956</v>
      </c>
      <c r="B623" t="s">
        <v>305</v>
      </c>
      <c r="C623">
        <v>37</v>
      </c>
      <c r="D623" t="s">
        <v>75</v>
      </c>
      <c r="E623" t="s">
        <v>83</v>
      </c>
      <c r="F623" t="s">
        <v>27</v>
      </c>
      <c r="G623" s="2">
        <v>45729</v>
      </c>
      <c r="H623" t="s">
        <v>28</v>
      </c>
      <c r="I623" s="3">
        <v>892064</v>
      </c>
      <c r="J623">
        <v>671</v>
      </c>
      <c r="K623" t="s">
        <v>57</v>
      </c>
      <c r="L623" t="s">
        <v>38</v>
      </c>
      <c r="M623">
        <v>34</v>
      </c>
      <c r="N623" s="3">
        <v>15071.69</v>
      </c>
      <c r="O623" t="s">
        <v>22</v>
      </c>
    </row>
    <row r="624" spans="1:15" x14ac:dyDescent="0.2">
      <c r="A624" t="s">
        <v>957</v>
      </c>
      <c r="B624" t="s">
        <v>125</v>
      </c>
      <c r="C624">
        <v>43</v>
      </c>
      <c r="D624" t="s">
        <v>48</v>
      </c>
      <c r="E624" t="s">
        <v>26</v>
      </c>
      <c r="F624" t="s">
        <v>27</v>
      </c>
      <c r="G624" s="2">
        <v>46208</v>
      </c>
      <c r="H624" t="s">
        <v>28</v>
      </c>
      <c r="I624" s="3">
        <v>1115630</v>
      </c>
      <c r="J624">
        <v>580</v>
      </c>
      <c r="K624" t="s">
        <v>34</v>
      </c>
      <c r="L624" t="s">
        <v>30</v>
      </c>
      <c r="M624">
        <v>83</v>
      </c>
      <c r="N624" s="3">
        <v>19946.47</v>
      </c>
      <c r="O624" t="s">
        <v>22</v>
      </c>
    </row>
    <row r="625" spans="1:15" x14ac:dyDescent="0.2">
      <c r="A625" t="s">
        <v>958</v>
      </c>
      <c r="B625" t="s">
        <v>47</v>
      </c>
      <c r="C625">
        <v>52</v>
      </c>
      <c r="D625" t="s">
        <v>16</v>
      </c>
      <c r="E625" t="s">
        <v>56</v>
      </c>
      <c r="F625" t="s">
        <v>18</v>
      </c>
      <c r="G625" s="2">
        <v>45811</v>
      </c>
      <c r="H625" t="s">
        <v>28</v>
      </c>
      <c r="I625" s="3">
        <v>3196878</v>
      </c>
      <c r="J625">
        <v>715</v>
      </c>
      <c r="K625" t="s">
        <v>29</v>
      </c>
      <c r="L625" t="s">
        <v>38</v>
      </c>
      <c r="M625">
        <v>17</v>
      </c>
      <c r="N625" s="3">
        <v>21136.38</v>
      </c>
      <c r="O625" t="s">
        <v>22</v>
      </c>
    </row>
    <row r="626" spans="1:15" x14ac:dyDescent="0.2">
      <c r="A626" t="s">
        <v>959</v>
      </c>
      <c r="B626" t="s">
        <v>215</v>
      </c>
      <c r="C626">
        <v>30</v>
      </c>
      <c r="D626" t="s">
        <v>48</v>
      </c>
      <c r="E626" t="s">
        <v>17</v>
      </c>
      <c r="F626" t="s">
        <v>100</v>
      </c>
      <c r="G626" s="2">
        <v>45907</v>
      </c>
      <c r="H626" t="s">
        <v>19</v>
      </c>
      <c r="I626" s="3">
        <v>2235500</v>
      </c>
      <c r="J626">
        <v>775</v>
      </c>
      <c r="K626" t="s">
        <v>78</v>
      </c>
      <c r="L626" t="s">
        <v>45</v>
      </c>
      <c r="M626">
        <v>5</v>
      </c>
      <c r="N626" s="3">
        <v>28459.48</v>
      </c>
      <c r="O626" t="s">
        <v>22</v>
      </c>
    </row>
    <row r="627" spans="1:15" x14ac:dyDescent="0.2">
      <c r="A627" t="s">
        <v>960</v>
      </c>
      <c r="B627" t="s">
        <v>62</v>
      </c>
      <c r="C627">
        <v>30</v>
      </c>
      <c r="D627" t="s">
        <v>25</v>
      </c>
      <c r="E627" t="s">
        <v>17</v>
      </c>
      <c r="F627" t="s">
        <v>100</v>
      </c>
      <c r="G627" s="2">
        <v>46095</v>
      </c>
      <c r="H627" t="s">
        <v>19</v>
      </c>
      <c r="I627" s="3">
        <v>3222881</v>
      </c>
      <c r="J627">
        <v>712</v>
      </c>
      <c r="K627" t="s">
        <v>92</v>
      </c>
      <c r="L627" t="s">
        <v>58</v>
      </c>
      <c r="M627">
        <v>89</v>
      </c>
      <c r="N627" s="3">
        <v>10141.17</v>
      </c>
      <c r="O627" t="s">
        <v>22</v>
      </c>
    </row>
    <row r="628" spans="1:15" x14ac:dyDescent="0.2">
      <c r="A628" t="s">
        <v>961</v>
      </c>
      <c r="B628" t="s">
        <v>315</v>
      </c>
      <c r="C628">
        <v>56</v>
      </c>
      <c r="D628" t="s">
        <v>37</v>
      </c>
      <c r="E628" t="s">
        <v>26</v>
      </c>
      <c r="F628" t="s">
        <v>18</v>
      </c>
      <c r="G628" s="2">
        <v>45775</v>
      </c>
      <c r="H628" t="s">
        <v>28</v>
      </c>
      <c r="I628" s="3">
        <v>1559989</v>
      </c>
      <c r="J628">
        <v>665</v>
      </c>
      <c r="K628" t="s">
        <v>29</v>
      </c>
      <c r="L628" t="s">
        <v>38</v>
      </c>
      <c r="M628">
        <v>18</v>
      </c>
      <c r="N628" s="3">
        <v>11805.53</v>
      </c>
      <c r="O628" t="s">
        <v>22</v>
      </c>
    </row>
    <row r="629" spans="1:15" x14ac:dyDescent="0.2">
      <c r="A629" t="s">
        <v>962</v>
      </c>
      <c r="B629" t="s">
        <v>664</v>
      </c>
      <c r="C629">
        <v>28</v>
      </c>
      <c r="D629" t="s">
        <v>16</v>
      </c>
      <c r="E629" t="s">
        <v>26</v>
      </c>
      <c r="F629" t="s">
        <v>43</v>
      </c>
      <c r="G629" s="2">
        <v>45963</v>
      </c>
      <c r="H629" t="s">
        <v>44</v>
      </c>
      <c r="I629" s="3">
        <v>418678</v>
      </c>
      <c r="J629">
        <v>759</v>
      </c>
      <c r="K629" t="s">
        <v>29</v>
      </c>
      <c r="L629" t="s">
        <v>45</v>
      </c>
      <c r="M629">
        <v>55</v>
      </c>
      <c r="N629" s="3">
        <v>3088.36</v>
      </c>
      <c r="O629" t="s">
        <v>22</v>
      </c>
    </row>
    <row r="630" spans="1:15" x14ac:dyDescent="0.2">
      <c r="A630" t="s">
        <v>963</v>
      </c>
      <c r="B630" t="s">
        <v>211</v>
      </c>
      <c r="C630">
        <v>40</v>
      </c>
      <c r="D630" t="s">
        <v>25</v>
      </c>
      <c r="E630" t="s">
        <v>26</v>
      </c>
      <c r="F630" t="s">
        <v>18</v>
      </c>
      <c r="G630" s="2">
        <v>45925</v>
      </c>
      <c r="H630" t="s">
        <v>33</v>
      </c>
      <c r="I630" s="3">
        <v>4300501</v>
      </c>
      <c r="J630">
        <v>583</v>
      </c>
      <c r="K630" t="s">
        <v>29</v>
      </c>
      <c r="L630" t="s">
        <v>21</v>
      </c>
      <c r="M630">
        <v>53</v>
      </c>
      <c r="N630" s="3">
        <v>912.96</v>
      </c>
      <c r="O630" t="s">
        <v>22</v>
      </c>
    </row>
    <row r="631" spans="1:15" x14ac:dyDescent="0.2">
      <c r="A631" t="s">
        <v>964</v>
      </c>
      <c r="B631" t="s">
        <v>201</v>
      </c>
      <c r="C631">
        <v>52</v>
      </c>
      <c r="D631" t="s">
        <v>25</v>
      </c>
      <c r="E631" t="s">
        <v>17</v>
      </c>
      <c r="F631" t="s">
        <v>27</v>
      </c>
      <c r="G631" s="2">
        <v>45711</v>
      </c>
      <c r="H631" t="s">
        <v>28</v>
      </c>
      <c r="I631" s="3">
        <v>1225924</v>
      </c>
      <c r="J631">
        <v>705</v>
      </c>
      <c r="K631" t="s">
        <v>20</v>
      </c>
      <c r="L631" t="s">
        <v>45</v>
      </c>
      <c r="M631">
        <v>50</v>
      </c>
      <c r="N631" s="3">
        <v>2021.39</v>
      </c>
      <c r="O631" t="s">
        <v>22</v>
      </c>
    </row>
    <row r="632" spans="1:15" x14ac:dyDescent="0.2">
      <c r="A632" t="s">
        <v>965</v>
      </c>
      <c r="B632" t="s">
        <v>884</v>
      </c>
      <c r="C632">
        <v>70</v>
      </c>
      <c r="D632" t="s">
        <v>128</v>
      </c>
      <c r="E632" t="s">
        <v>26</v>
      </c>
      <c r="F632" t="s">
        <v>43</v>
      </c>
      <c r="G632" s="2">
        <v>45893</v>
      </c>
      <c r="H632" t="s">
        <v>52</v>
      </c>
      <c r="I632" s="3">
        <v>1053789</v>
      </c>
      <c r="J632">
        <v>754</v>
      </c>
      <c r="K632" t="s">
        <v>78</v>
      </c>
      <c r="L632" t="s">
        <v>21</v>
      </c>
      <c r="M632">
        <v>72</v>
      </c>
      <c r="N632" s="3">
        <v>4285.83</v>
      </c>
      <c r="O632" t="s">
        <v>22</v>
      </c>
    </row>
    <row r="633" spans="1:15" x14ac:dyDescent="0.2">
      <c r="A633" t="s">
        <v>966</v>
      </c>
      <c r="B633" t="s">
        <v>967</v>
      </c>
      <c r="C633">
        <v>34</v>
      </c>
      <c r="D633" t="s">
        <v>128</v>
      </c>
      <c r="E633" t="s">
        <v>56</v>
      </c>
      <c r="F633" t="s">
        <v>27</v>
      </c>
      <c r="G633" s="2">
        <v>46046</v>
      </c>
      <c r="H633" t="s">
        <v>33</v>
      </c>
      <c r="I633" s="3">
        <v>420923</v>
      </c>
      <c r="J633">
        <v>830</v>
      </c>
      <c r="K633" t="s">
        <v>78</v>
      </c>
      <c r="L633" t="s">
        <v>38</v>
      </c>
      <c r="M633">
        <v>91</v>
      </c>
      <c r="N633" s="3">
        <v>2148.04</v>
      </c>
      <c r="O633" t="s">
        <v>39</v>
      </c>
    </row>
    <row r="634" spans="1:15" x14ac:dyDescent="0.2">
      <c r="A634" t="s">
        <v>968</v>
      </c>
      <c r="B634" t="s">
        <v>64</v>
      </c>
      <c r="C634">
        <v>70</v>
      </c>
      <c r="D634" t="s">
        <v>70</v>
      </c>
      <c r="E634" t="s">
        <v>26</v>
      </c>
      <c r="F634" t="s">
        <v>43</v>
      </c>
      <c r="G634" s="2">
        <v>46058</v>
      </c>
      <c r="H634" t="s">
        <v>19</v>
      </c>
      <c r="I634" s="3">
        <v>550406</v>
      </c>
      <c r="J634">
        <v>600</v>
      </c>
      <c r="K634" t="s">
        <v>29</v>
      </c>
      <c r="L634" t="s">
        <v>21</v>
      </c>
      <c r="M634">
        <v>79</v>
      </c>
      <c r="N634" s="3">
        <v>6584.19</v>
      </c>
      <c r="O634" t="s">
        <v>22</v>
      </c>
    </row>
    <row r="635" spans="1:15" x14ac:dyDescent="0.2">
      <c r="A635" t="s">
        <v>969</v>
      </c>
      <c r="B635" t="s">
        <v>813</v>
      </c>
      <c r="C635">
        <v>48</v>
      </c>
      <c r="D635" t="s">
        <v>51</v>
      </c>
      <c r="E635" t="s">
        <v>26</v>
      </c>
      <c r="F635" t="s">
        <v>18</v>
      </c>
      <c r="G635" s="2">
        <v>45960</v>
      </c>
      <c r="H635" t="s">
        <v>28</v>
      </c>
      <c r="I635" s="3">
        <v>767961</v>
      </c>
      <c r="J635">
        <v>684</v>
      </c>
      <c r="K635" t="s">
        <v>67</v>
      </c>
      <c r="L635" t="s">
        <v>45</v>
      </c>
      <c r="M635">
        <v>45</v>
      </c>
      <c r="N635" s="3">
        <v>5512.69</v>
      </c>
      <c r="O635" t="s">
        <v>22</v>
      </c>
    </row>
    <row r="636" spans="1:15" x14ac:dyDescent="0.2">
      <c r="A636" t="s">
        <v>970</v>
      </c>
      <c r="B636" t="s">
        <v>194</v>
      </c>
      <c r="C636">
        <v>66</v>
      </c>
      <c r="D636" t="s">
        <v>105</v>
      </c>
      <c r="E636" t="s">
        <v>56</v>
      </c>
      <c r="F636" t="s">
        <v>27</v>
      </c>
      <c r="G636" s="2">
        <v>45864</v>
      </c>
      <c r="H636" t="s">
        <v>33</v>
      </c>
      <c r="I636" s="3">
        <v>1285598</v>
      </c>
      <c r="J636">
        <v>645</v>
      </c>
      <c r="K636" t="s">
        <v>67</v>
      </c>
      <c r="L636" t="s">
        <v>58</v>
      </c>
      <c r="M636">
        <v>13</v>
      </c>
      <c r="N636" s="3">
        <v>23973.84</v>
      </c>
      <c r="O636" t="s">
        <v>22</v>
      </c>
    </row>
    <row r="637" spans="1:15" x14ac:dyDescent="0.2">
      <c r="A637" t="s">
        <v>971</v>
      </c>
      <c r="B637" t="s">
        <v>886</v>
      </c>
      <c r="C637">
        <v>44</v>
      </c>
      <c r="D637" t="s">
        <v>51</v>
      </c>
      <c r="E637" t="s">
        <v>26</v>
      </c>
      <c r="F637" t="s">
        <v>27</v>
      </c>
      <c r="G637" s="2">
        <v>45886</v>
      </c>
      <c r="H637" t="s">
        <v>28</v>
      </c>
      <c r="I637" s="3">
        <v>2761902</v>
      </c>
      <c r="J637">
        <v>842</v>
      </c>
      <c r="K637" t="s">
        <v>57</v>
      </c>
      <c r="L637" t="s">
        <v>30</v>
      </c>
      <c r="M637">
        <v>16</v>
      </c>
      <c r="N637" s="3">
        <v>3237.01</v>
      </c>
      <c r="O637" t="s">
        <v>22</v>
      </c>
    </row>
    <row r="638" spans="1:15" x14ac:dyDescent="0.2">
      <c r="A638" t="s">
        <v>972</v>
      </c>
      <c r="B638" t="s">
        <v>549</v>
      </c>
      <c r="C638">
        <v>35</v>
      </c>
      <c r="D638" t="s">
        <v>51</v>
      </c>
      <c r="E638" t="s">
        <v>17</v>
      </c>
      <c r="F638" t="s">
        <v>100</v>
      </c>
      <c r="G638" s="2">
        <v>46235</v>
      </c>
      <c r="H638" t="s">
        <v>28</v>
      </c>
      <c r="I638" s="3">
        <v>3890377</v>
      </c>
      <c r="J638">
        <v>628</v>
      </c>
      <c r="K638" t="s">
        <v>29</v>
      </c>
      <c r="L638" t="s">
        <v>30</v>
      </c>
      <c r="M638">
        <v>86</v>
      </c>
      <c r="N638" s="3">
        <v>10379.74</v>
      </c>
      <c r="O638" t="s">
        <v>39</v>
      </c>
    </row>
    <row r="639" spans="1:15" x14ac:dyDescent="0.2">
      <c r="A639" t="s">
        <v>973</v>
      </c>
      <c r="B639" t="s">
        <v>974</v>
      </c>
      <c r="C639">
        <v>42</v>
      </c>
      <c r="D639" t="s">
        <v>37</v>
      </c>
      <c r="E639" t="s">
        <v>17</v>
      </c>
      <c r="F639" t="s">
        <v>27</v>
      </c>
      <c r="G639" s="2">
        <v>45732</v>
      </c>
      <c r="H639" t="s">
        <v>28</v>
      </c>
      <c r="I639" s="3">
        <v>413944</v>
      </c>
      <c r="J639">
        <v>595</v>
      </c>
      <c r="K639" t="s">
        <v>20</v>
      </c>
      <c r="L639" t="s">
        <v>58</v>
      </c>
      <c r="M639">
        <v>84</v>
      </c>
      <c r="N639" s="3">
        <v>5763.18</v>
      </c>
      <c r="O639" t="s">
        <v>22</v>
      </c>
    </row>
    <row r="640" spans="1:15" x14ac:dyDescent="0.2">
      <c r="A640" t="s">
        <v>975</v>
      </c>
      <c r="B640" t="s">
        <v>386</v>
      </c>
      <c r="C640">
        <v>50</v>
      </c>
      <c r="D640" t="s">
        <v>105</v>
      </c>
      <c r="E640" t="s">
        <v>56</v>
      </c>
      <c r="F640" t="s">
        <v>43</v>
      </c>
      <c r="G640" s="2">
        <v>46092</v>
      </c>
      <c r="H640" t="s">
        <v>19</v>
      </c>
      <c r="I640" s="3">
        <v>2846105</v>
      </c>
      <c r="J640">
        <v>724</v>
      </c>
      <c r="K640" t="s">
        <v>86</v>
      </c>
      <c r="L640" t="s">
        <v>30</v>
      </c>
      <c r="M640">
        <v>13</v>
      </c>
      <c r="N640" s="3">
        <v>3112.22</v>
      </c>
      <c r="O640" t="s">
        <v>22</v>
      </c>
    </row>
    <row r="641" spans="1:15" x14ac:dyDescent="0.2">
      <c r="A641" t="s">
        <v>976</v>
      </c>
      <c r="B641" t="s">
        <v>977</v>
      </c>
      <c r="C641">
        <v>24</v>
      </c>
      <c r="D641" t="s">
        <v>55</v>
      </c>
      <c r="E641" t="s">
        <v>56</v>
      </c>
      <c r="F641" t="s">
        <v>100</v>
      </c>
      <c r="G641" s="2">
        <v>45760</v>
      </c>
      <c r="H641" t="s">
        <v>52</v>
      </c>
      <c r="I641" s="3">
        <v>3272345</v>
      </c>
      <c r="J641">
        <v>829</v>
      </c>
      <c r="K641" t="s">
        <v>20</v>
      </c>
      <c r="L641" t="s">
        <v>38</v>
      </c>
      <c r="M641">
        <v>20</v>
      </c>
      <c r="N641" s="3">
        <v>4170.97</v>
      </c>
      <c r="O641" t="s">
        <v>22</v>
      </c>
    </row>
    <row r="642" spans="1:15" x14ac:dyDescent="0.2">
      <c r="A642" t="s">
        <v>978</v>
      </c>
      <c r="B642" t="s">
        <v>979</v>
      </c>
      <c r="C642">
        <v>33</v>
      </c>
      <c r="D642" t="s">
        <v>16</v>
      </c>
      <c r="E642" t="s">
        <v>17</v>
      </c>
      <c r="F642" t="s">
        <v>43</v>
      </c>
      <c r="G642" s="2">
        <v>46079</v>
      </c>
      <c r="H642" t="s">
        <v>52</v>
      </c>
      <c r="I642" s="3">
        <v>2940543</v>
      </c>
      <c r="J642">
        <v>654</v>
      </c>
      <c r="K642" t="s">
        <v>67</v>
      </c>
      <c r="L642" t="s">
        <v>38</v>
      </c>
      <c r="M642">
        <v>66</v>
      </c>
      <c r="N642" s="3">
        <v>1039.17</v>
      </c>
      <c r="O642" t="s">
        <v>22</v>
      </c>
    </row>
    <row r="643" spans="1:15" x14ac:dyDescent="0.2">
      <c r="A643" t="s">
        <v>980</v>
      </c>
      <c r="B643" t="s">
        <v>981</v>
      </c>
      <c r="C643">
        <v>43</v>
      </c>
      <c r="D643" t="s">
        <v>42</v>
      </c>
      <c r="E643" t="s">
        <v>17</v>
      </c>
      <c r="F643" t="s">
        <v>43</v>
      </c>
      <c r="G643" s="2">
        <v>45963</v>
      </c>
      <c r="H643" t="s">
        <v>28</v>
      </c>
      <c r="I643" s="3">
        <v>3219852</v>
      </c>
      <c r="J643">
        <v>645</v>
      </c>
      <c r="K643" t="s">
        <v>57</v>
      </c>
      <c r="L643" t="s">
        <v>45</v>
      </c>
      <c r="M643">
        <v>99</v>
      </c>
      <c r="N643" s="3">
        <v>19648.66</v>
      </c>
      <c r="O643" t="s">
        <v>22</v>
      </c>
    </row>
    <row r="644" spans="1:15" x14ac:dyDescent="0.2">
      <c r="A644" t="s">
        <v>982</v>
      </c>
      <c r="B644" t="s">
        <v>983</v>
      </c>
      <c r="C644">
        <v>28</v>
      </c>
      <c r="D644" t="s">
        <v>51</v>
      </c>
      <c r="E644" t="s">
        <v>83</v>
      </c>
      <c r="F644" t="s">
        <v>27</v>
      </c>
      <c r="G644" s="2">
        <v>45755</v>
      </c>
      <c r="H644" t="s">
        <v>28</v>
      </c>
      <c r="I644" s="3">
        <v>1608454</v>
      </c>
      <c r="J644">
        <v>704</v>
      </c>
      <c r="K644" t="s">
        <v>67</v>
      </c>
      <c r="L644" t="s">
        <v>45</v>
      </c>
      <c r="M644">
        <v>47</v>
      </c>
      <c r="N644" s="3">
        <v>39041.26</v>
      </c>
      <c r="O644" t="s">
        <v>22</v>
      </c>
    </row>
    <row r="645" spans="1:15" x14ac:dyDescent="0.2">
      <c r="A645" t="s">
        <v>984</v>
      </c>
      <c r="B645" t="s">
        <v>756</v>
      </c>
      <c r="C645">
        <v>38</v>
      </c>
      <c r="D645" t="s">
        <v>37</v>
      </c>
      <c r="E645" t="s">
        <v>26</v>
      </c>
      <c r="F645" t="s">
        <v>27</v>
      </c>
      <c r="G645" s="2">
        <v>45992</v>
      </c>
      <c r="H645" t="s">
        <v>28</v>
      </c>
      <c r="I645" s="3">
        <v>4121018</v>
      </c>
      <c r="J645">
        <v>666</v>
      </c>
      <c r="K645" t="s">
        <v>67</v>
      </c>
      <c r="L645" t="s">
        <v>21</v>
      </c>
      <c r="M645">
        <v>119</v>
      </c>
      <c r="N645" s="3">
        <v>6762.59</v>
      </c>
      <c r="O645" t="s">
        <v>22</v>
      </c>
    </row>
    <row r="646" spans="1:15" x14ac:dyDescent="0.2">
      <c r="A646" t="s">
        <v>985</v>
      </c>
      <c r="B646" t="s">
        <v>492</v>
      </c>
      <c r="C646">
        <v>32</v>
      </c>
      <c r="D646" t="s">
        <v>70</v>
      </c>
      <c r="E646" t="s">
        <v>26</v>
      </c>
      <c r="F646" t="s">
        <v>18</v>
      </c>
      <c r="G646" s="2">
        <v>46092</v>
      </c>
      <c r="H646" t="s">
        <v>28</v>
      </c>
      <c r="I646" s="3">
        <v>1320804</v>
      </c>
      <c r="J646">
        <v>620</v>
      </c>
      <c r="K646" t="s">
        <v>67</v>
      </c>
      <c r="L646" t="s">
        <v>45</v>
      </c>
      <c r="M646">
        <v>19</v>
      </c>
      <c r="N646" s="3">
        <v>9232.7800000000007</v>
      </c>
      <c r="O646" t="s">
        <v>22</v>
      </c>
    </row>
    <row r="647" spans="1:15" x14ac:dyDescent="0.2">
      <c r="A647" t="s">
        <v>986</v>
      </c>
      <c r="B647" t="s">
        <v>713</v>
      </c>
      <c r="C647">
        <v>51</v>
      </c>
      <c r="D647" t="s">
        <v>89</v>
      </c>
      <c r="E647" t="s">
        <v>26</v>
      </c>
      <c r="F647" t="s">
        <v>43</v>
      </c>
      <c r="G647" s="2">
        <v>46104</v>
      </c>
      <c r="H647" t="s">
        <v>28</v>
      </c>
      <c r="I647" s="3">
        <v>2687220</v>
      </c>
      <c r="J647">
        <v>765</v>
      </c>
      <c r="K647" t="s">
        <v>29</v>
      </c>
      <c r="L647" t="s">
        <v>38</v>
      </c>
      <c r="M647">
        <v>45</v>
      </c>
      <c r="N647" s="3">
        <v>6563.96</v>
      </c>
      <c r="O647" t="s">
        <v>22</v>
      </c>
    </row>
    <row r="648" spans="1:15" x14ac:dyDescent="0.2">
      <c r="A648" t="s">
        <v>987</v>
      </c>
      <c r="B648" t="s">
        <v>107</v>
      </c>
      <c r="C648">
        <v>34</v>
      </c>
      <c r="D648" t="s">
        <v>89</v>
      </c>
      <c r="E648" t="s">
        <v>26</v>
      </c>
      <c r="F648" t="s">
        <v>43</v>
      </c>
      <c r="G648" s="2">
        <v>45965</v>
      </c>
      <c r="H648" t="s">
        <v>52</v>
      </c>
      <c r="I648" s="3">
        <v>2353627</v>
      </c>
      <c r="J648">
        <v>845</v>
      </c>
      <c r="K648" t="s">
        <v>67</v>
      </c>
      <c r="L648" t="s">
        <v>45</v>
      </c>
      <c r="M648">
        <v>37</v>
      </c>
      <c r="N648" s="3">
        <v>3785.39</v>
      </c>
      <c r="O648" t="s">
        <v>39</v>
      </c>
    </row>
    <row r="649" spans="1:15" x14ac:dyDescent="0.2">
      <c r="A649" t="s">
        <v>988</v>
      </c>
      <c r="B649" t="s">
        <v>134</v>
      </c>
      <c r="C649">
        <v>54</v>
      </c>
      <c r="D649" t="s">
        <v>25</v>
      </c>
      <c r="E649" t="s">
        <v>17</v>
      </c>
      <c r="F649" t="s">
        <v>27</v>
      </c>
      <c r="G649" s="2">
        <v>45906</v>
      </c>
      <c r="H649" t="s">
        <v>33</v>
      </c>
      <c r="I649" s="3">
        <v>3348350</v>
      </c>
      <c r="J649">
        <v>850</v>
      </c>
      <c r="K649" t="s">
        <v>78</v>
      </c>
      <c r="L649" t="s">
        <v>30</v>
      </c>
      <c r="M649">
        <v>54</v>
      </c>
      <c r="N649" s="3">
        <v>18772.490000000002</v>
      </c>
      <c r="O649" t="s">
        <v>22</v>
      </c>
    </row>
    <row r="650" spans="1:15" x14ac:dyDescent="0.2">
      <c r="A650" t="s">
        <v>989</v>
      </c>
      <c r="B650" t="s">
        <v>167</v>
      </c>
      <c r="C650">
        <v>38</v>
      </c>
      <c r="D650" t="s">
        <v>105</v>
      </c>
      <c r="E650" t="s">
        <v>17</v>
      </c>
      <c r="F650" t="s">
        <v>27</v>
      </c>
      <c r="G650" s="2">
        <v>45823</v>
      </c>
      <c r="H650" t="s">
        <v>28</v>
      </c>
      <c r="I650" s="3">
        <v>3827643</v>
      </c>
      <c r="J650">
        <v>621</v>
      </c>
      <c r="K650" t="s">
        <v>34</v>
      </c>
      <c r="L650" t="s">
        <v>21</v>
      </c>
      <c r="M650">
        <v>6</v>
      </c>
      <c r="N650" s="3">
        <v>12519.24</v>
      </c>
      <c r="O650" t="s">
        <v>22</v>
      </c>
    </row>
    <row r="651" spans="1:15" x14ac:dyDescent="0.2">
      <c r="A651" t="s">
        <v>990</v>
      </c>
      <c r="B651" t="s">
        <v>427</v>
      </c>
      <c r="C651">
        <v>54</v>
      </c>
      <c r="D651" t="s">
        <v>25</v>
      </c>
      <c r="E651" t="s">
        <v>17</v>
      </c>
      <c r="F651" t="s">
        <v>100</v>
      </c>
      <c r="G651" s="2">
        <v>46138</v>
      </c>
      <c r="H651" t="s">
        <v>28</v>
      </c>
      <c r="I651" s="3">
        <v>2639911</v>
      </c>
      <c r="J651">
        <v>672</v>
      </c>
      <c r="K651" t="s">
        <v>92</v>
      </c>
      <c r="L651" t="s">
        <v>21</v>
      </c>
      <c r="M651">
        <v>14</v>
      </c>
      <c r="N651" s="3">
        <v>500</v>
      </c>
      <c r="O651" t="s">
        <v>22</v>
      </c>
    </row>
    <row r="652" spans="1:15" x14ac:dyDescent="0.2">
      <c r="A652" t="s">
        <v>991</v>
      </c>
      <c r="B652" t="s">
        <v>171</v>
      </c>
      <c r="C652">
        <v>31</v>
      </c>
      <c r="D652" t="s">
        <v>37</v>
      </c>
      <c r="E652" t="s">
        <v>26</v>
      </c>
      <c r="F652" t="s">
        <v>27</v>
      </c>
      <c r="G652" s="2">
        <v>45992</v>
      </c>
      <c r="H652" t="s">
        <v>28</v>
      </c>
      <c r="I652" s="3">
        <v>1976681</v>
      </c>
      <c r="J652">
        <v>764</v>
      </c>
      <c r="K652" t="s">
        <v>29</v>
      </c>
      <c r="L652" t="s">
        <v>38</v>
      </c>
      <c r="M652">
        <v>4</v>
      </c>
      <c r="N652" s="3">
        <v>3021.95</v>
      </c>
      <c r="O652" t="s">
        <v>22</v>
      </c>
    </row>
    <row r="653" spans="1:15" x14ac:dyDescent="0.2">
      <c r="A653" t="s">
        <v>992</v>
      </c>
      <c r="B653" t="s">
        <v>811</v>
      </c>
      <c r="C653">
        <v>61</v>
      </c>
      <c r="D653" t="s">
        <v>75</v>
      </c>
      <c r="E653" t="s">
        <v>56</v>
      </c>
      <c r="F653" t="s">
        <v>43</v>
      </c>
      <c r="G653" s="2">
        <v>46199</v>
      </c>
      <c r="H653" t="s">
        <v>28</v>
      </c>
      <c r="I653" s="3">
        <v>367408</v>
      </c>
      <c r="J653">
        <v>794</v>
      </c>
      <c r="K653" t="s">
        <v>57</v>
      </c>
      <c r="L653" t="s">
        <v>45</v>
      </c>
      <c r="M653">
        <v>86</v>
      </c>
      <c r="N653" s="3">
        <v>1037.21</v>
      </c>
      <c r="O653" t="s">
        <v>22</v>
      </c>
    </row>
    <row r="654" spans="1:15" x14ac:dyDescent="0.2">
      <c r="A654" t="s">
        <v>993</v>
      </c>
      <c r="B654" t="s">
        <v>211</v>
      </c>
      <c r="C654">
        <v>32</v>
      </c>
      <c r="D654" t="s">
        <v>75</v>
      </c>
      <c r="E654" t="s">
        <v>26</v>
      </c>
      <c r="F654" t="s">
        <v>27</v>
      </c>
      <c r="G654" s="2">
        <v>45763</v>
      </c>
      <c r="H654" t="s">
        <v>44</v>
      </c>
      <c r="I654" s="3">
        <v>886431</v>
      </c>
      <c r="J654">
        <v>596</v>
      </c>
      <c r="K654" t="s">
        <v>78</v>
      </c>
      <c r="L654" t="s">
        <v>30</v>
      </c>
      <c r="M654">
        <v>115</v>
      </c>
      <c r="N654" s="3">
        <v>45852.5</v>
      </c>
      <c r="O654" t="s">
        <v>22</v>
      </c>
    </row>
    <row r="655" spans="1:15" x14ac:dyDescent="0.2">
      <c r="A655" t="s">
        <v>994</v>
      </c>
      <c r="B655" t="s">
        <v>287</v>
      </c>
      <c r="C655">
        <v>69</v>
      </c>
      <c r="D655" t="s">
        <v>70</v>
      </c>
      <c r="E655" t="s">
        <v>17</v>
      </c>
      <c r="F655" t="s">
        <v>18</v>
      </c>
      <c r="G655" s="2">
        <v>46220</v>
      </c>
      <c r="H655" t="s">
        <v>33</v>
      </c>
      <c r="I655" s="3">
        <v>3685504</v>
      </c>
      <c r="J655">
        <v>844</v>
      </c>
      <c r="K655" t="s">
        <v>20</v>
      </c>
      <c r="L655" t="s">
        <v>45</v>
      </c>
      <c r="M655">
        <v>55</v>
      </c>
      <c r="N655" s="3">
        <v>7476.95</v>
      </c>
      <c r="O655" t="s">
        <v>22</v>
      </c>
    </row>
    <row r="656" spans="1:15" x14ac:dyDescent="0.2">
      <c r="A656" t="s">
        <v>995</v>
      </c>
      <c r="B656" t="s">
        <v>346</v>
      </c>
      <c r="C656">
        <v>35</v>
      </c>
      <c r="D656" t="s">
        <v>42</v>
      </c>
      <c r="E656" t="s">
        <v>17</v>
      </c>
      <c r="F656" t="s">
        <v>100</v>
      </c>
      <c r="G656" s="2">
        <v>45738</v>
      </c>
      <c r="H656" t="s">
        <v>52</v>
      </c>
      <c r="I656" s="3">
        <v>1049288</v>
      </c>
      <c r="J656">
        <v>693</v>
      </c>
      <c r="K656" t="s">
        <v>67</v>
      </c>
      <c r="L656" t="s">
        <v>58</v>
      </c>
      <c r="M656">
        <v>103</v>
      </c>
      <c r="N656" s="3">
        <v>11530.33</v>
      </c>
      <c r="O656" t="s">
        <v>22</v>
      </c>
    </row>
    <row r="657" spans="1:15" x14ac:dyDescent="0.2">
      <c r="A657" t="s">
        <v>996</v>
      </c>
      <c r="B657" t="s">
        <v>369</v>
      </c>
      <c r="C657">
        <v>51</v>
      </c>
      <c r="D657" t="s">
        <v>128</v>
      </c>
      <c r="E657" t="s">
        <v>26</v>
      </c>
      <c r="F657" t="s">
        <v>43</v>
      </c>
      <c r="G657" s="2">
        <v>45790</v>
      </c>
      <c r="H657" t="s">
        <v>28</v>
      </c>
      <c r="I657" s="3">
        <v>1486541</v>
      </c>
      <c r="J657">
        <v>627</v>
      </c>
      <c r="K657" t="s">
        <v>86</v>
      </c>
      <c r="L657" t="s">
        <v>45</v>
      </c>
      <c r="M657">
        <v>100</v>
      </c>
      <c r="N657" s="3">
        <v>6179.79</v>
      </c>
      <c r="O657" t="s">
        <v>22</v>
      </c>
    </row>
    <row r="658" spans="1:15" x14ac:dyDescent="0.2">
      <c r="A658" t="s">
        <v>997</v>
      </c>
      <c r="B658" t="s">
        <v>503</v>
      </c>
      <c r="C658">
        <v>69</v>
      </c>
      <c r="D658" t="s">
        <v>128</v>
      </c>
      <c r="E658" t="s">
        <v>26</v>
      </c>
      <c r="F658" t="s">
        <v>27</v>
      </c>
      <c r="G658" s="2">
        <v>45795</v>
      </c>
      <c r="H658" t="s">
        <v>28</v>
      </c>
      <c r="I658" s="3">
        <v>2286721</v>
      </c>
      <c r="J658">
        <v>676</v>
      </c>
      <c r="K658" t="s">
        <v>86</v>
      </c>
      <c r="L658" t="s">
        <v>38</v>
      </c>
      <c r="M658">
        <v>34</v>
      </c>
      <c r="N658" s="3">
        <v>28504.91</v>
      </c>
      <c r="O658" t="s">
        <v>22</v>
      </c>
    </row>
    <row r="659" spans="1:15" x14ac:dyDescent="0.2">
      <c r="A659" t="s">
        <v>998</v>
      </c>
      <c r="B659" t="s">
        <v>271</v>
      </c>
      <c r="C659">
        <v>49</v>
      </c>
      <c r="D659" t="s">
        <v>105</v>
      </c>
      <c r="E659" t="s">
        <v>26</v>
      </c>
      <c r="F659" t="s">
        <v>43</v>
      </c>
      <c r="G659" s="2">
        <v>45841</v>
      </c>
      <c r="H659" t="s">
        <v>28</v>
      </c>
      <c r="I659" s="3">
        <v>1890913</v>
      </c>
      <c r="J659">
        <v>674</v>
      </c>
      <c r="K659" t="s">
        <v>34</v>
      </c>
      <c r="L659" t="s">
        <v>45</v>
      </c>
      <c r="M659">
        <v>27</v>
      </c>
      <c r="N659" s="3">
        <v>22109.01</v>
      </c>
      <c r="O659" t="s">
        <v>22</v>
      </c>
    </row>
    <row r="660" spans="1:15" x14ac:dyDescent="0.2">
      <c r="A660" t="s">
        <v>999</v>
      </c>
      <c r="B660" t="s">
        <v>600</v>
      </c>
      <c r="C660">
        <v>46</v>
      </c>
      <c r="D660" t="s">
        <v>105</v>
      </c>
      <c r="E660" t="s">
        <v>56</v>
      </c>
      <c r="F660" t="s">
        <v>18</v>
      </c>
      <c r="G660" s="2">
        <v>46058</v>
      </c>
      <c r="H660" t="s">
        <v>44</v>
      </c>
      <c r="I660" s="3">
        <v>567798</v>
      </c>
      <c r="J660">
        <v>653</v>
      </c>
      <c r="K660" t="s">
        <v>29</v>
      </c>
      <c r="L660" t="s">
        <v>21</v>
      </c>
      <c r="M660">
        <v>7</v>
      </c>
      <c r="N660" s="3">
        <v>7141.99</v>
      </c>
      <c r="O660" t="s">
        <v>22</v>
      </c>
    </row>
    <row r="661" spans="1:15" x14ac:dyDescent="0.2">
      <c r="A661" t="s">
        <v>1000</v>
      </c>
      <c r="B661" t="s">
        <v>877</v>
      </c>
      <c r="C661">
        <v>38</v>
      </c>
      <c r="D661" t="s">
        <v>51</v>
      </c>
      <c r="E661" t="s">
        <v>56</v>
      </c>
      <c r="F661" t="s">
        <v>27</v>
      </c>
      <c r="G661" s="2">
        <v>45987</v>
      </c>
      <c r="H661" t="s">
        <v>52</v>
      </c>
      <c r="I661" s="3">
        <v>1501222</v>
      </c>
      <c r="J661">
        <v>647</v>
      </c>
      <c r="K661" t="s">
        <v>20</v>
      </c>
      <c r="L661" t="s">
        <v>30</v>
      </c>
      <c r="M661">
        <v>3</v>
      </c>
      <c r="N661" s="3">
        <v>54387.67</v>
      </c>
      <c r="O661" t="s">
        <v>22</v>
      </c>
    </row>
    <row r="662" spans="1:15" x14ac:dyDescent="0.2">
      <c r="A662" t="s">
        <v>1001</v>
      </c>
      <c r="B662" t="s">
        <v>864</v>
      </c>
      <c r="C662">
        <v>52</v>
      </c>
      <c r="D662" t="s">
        <v>75</v>
      </c>
      <c r="E662" t="s">
        <v>17</v>
      </c>
      <c r="F662" t="s">
        <v>18</v>
      </c>
      <c r="G662" s="2">
        <v>46165</v>
      </c>
      <c r="H662" t="s">
        <v>28</v>
      </c>
      <c r="I662" s="3">
        <v>740783</v>
      </c>
      <c r="J662">
        <v>825</v>
      </c>
      <c r="K662" t="s">
        <v>34</v>
      </c>
      <c r="L662" t="s">
        <v>38</v>
      </c>
      <c r="M662">
        <v>47</v>
      </c>
      <c r="N662" s="3">
        <v>10878.94</v>
      </c>
      <c r="O662" t="s">
        <v>22</v>
      </c>
    </row>
    <row r="663" spans="1:15" x14ac:dyDescent="0.2">
      <c r="A663" t="s">
        <v>1002</v>
      </c>
      <c r="B663" t="s">
        <v>911</v>
      </c>
      <c r="C663">
        <v>42</v>
      </c>
      <c r="D663" t="s">
        <v>51</v>
      </c>
      <c r="E663" t="s">
        <v>26</v>
      </c>
      <c r="F663" t="s">
        <v>43</v>
      </c>
      <c r="G663" s="2">
        <v>45726</v>
      </c>
      <c r="H663" t="s">
        <v>28</v>
      </c>
      <c r="I663" s="3">
        <v>1357177</v>
      </c>
      <c r="J663">
        <v>656</v>
      </c>
      <c r="K663" t="s">
        <v>92</v>
      </c>
      <c r="L663" t="s">
        <v>58</v>
      </c>
      <c r="M663">
        <v>97</v>
      </c>
      <c r="N663" s="3">
        <v>1933.08</v>
      </c>
      <c r="O663" t="s">
        <v>22</v>
      </c>
    </row>
    <row r="664" spans="1:15" x14ac:dyDescent="0.2">
      <c r="A664" t="s">
        <v>1003</v>
      </c>
      <c r="B664" t="s">
        <v>884</v>
      </c>
      <c r="C664">
        <v>58</v>
      </c>
      <c r="D664" t="s">
        <v>128</v>
      </c>
      <c r="E664" t="s">
        <v>26</v>
      </c>
      <c r="F664" t="s">
        <v>100</v>
      </c>
      <c r="G664" s="2">
        <v>46203</v>
      </c>
      <c r="H664" t="s">
        <v>28</v>
      </c>
      <c r="I664" s="3">
        <v>1036796</v>
      </c>
      <c r="J664">
        <v>787</v>
      </c>
      <c r="K664" t="s">
        <v>92</v>
      </c>
      <c r="L664" t="s">
        <v>30</v>
      </c>
      <c r="M664">
        <v>2</v>
      </c>
      <c r="N664" s="3">
        <v>9946.93</v>
      </c>
      <c r="O664" t="s">
        <v>22</v>
      </c>
    </row>
    <row r="665" spans="1:15" x14ac:dyDescent="0.2">
      <c r="A665" t="s">
        <v>1004</v>
      </c>
      <c r="B665" t="s">
        <v>1005</v>
      </c>
      <c r="C665">
        <v>37</v>
      </c>
      <c r="D665" t="s">
        <v>16</v>
      </c>
      <c r="E665" t="s">
        <v>56</v>
      </c>
      <c r="F665" t="s">
        <v>43</v>
      </c>
      <c r="G665" s="2">
        <v>45710</v>
      </c>
      <c r="H665" t="s">
        <v>33</v>
      </c>
      <c r="I665" s="3">
        <v>3744585</v>
      </c>
      <c r="J665">
        <v>833</v>
      </c>
      <c r="K665" t="s">
        <v>34</v>
      </c>
      <c r="L665" t="s">
        <v>30</v>
      </c>
      <c r="M665">
        <v>106</v>
      </c>
      <c r="N665" s="3">
        <v>15418.34</v>
      </c>
      <c r="O665" t="s">
        <v>22</v>
      </c>
    </row>
    <row r="666" spans="1:15" x14ac:dyDescent="0.2">
      <c r="A666" t="s">
        <v>1006</v>
      </c>
      <c r="B666" t="s">
        <v>32</v>
      </c>
      <c r="C666">
        <v>43</v>
      </c>
      <c r="D666" t="s">
        <v>16</v>
      </c>
      <c r="E666" t="s">
        <v>56</v>
      </c>
      <c r="F666" t="s">
        <v>27</v>
      </c>
      <c r="G666" s="2">
        <v>46107</v>
      </c>
      <c r="H666" t="s">
        <v>19</v>
      </c>
      <c r="I666" s="3">
        <v>2242834</v>
      </c>
      <c r="J666">
        <v>800</v>
      </c>
      <c r="K666" t="s">
        <v>57</v>
      </c>
      <c r="L666" t="s">
        <v>21</v>
      </c>
      <c r="M666">
        <v>80</v>
      </c>
      <c r="N666" s="3">
        <v>7786.25</v>
      </c>
      <c r="O666" t="s">
        <v>22</v>
      </c>
    </row>
    <row r="667" spans="1:15" x14ac:dyDescent="0.2">
      <c r="A667" t="s">
        <v>1007</v>
      </c>
      <c r="B667" t="s">
        <v>1008</v>
      </c>
      <c r="C667">
        <v>44</v>
      </c>
      <c r="D667" t="s">
        <v>105</v>
      </c>
      <c r="E667" t="s">
        <v>26</v>
      </c>
      <c r="F667" t="s">
        <v>27</v>
      </c>
      <c r="G667" s="2">
        <v>45862</v>
      </c>
      <c r="H667" t="s">
        <v>33</v>
      </c>
      <c r="I667" s="3">
        <v>4373412</v>
      </c>
      <c r="J667">
        <v>841</v>
      </c>
      <c r="K667" t="s">
        <v>86</v>
      </c>
      <c r="L667" t="s">
        <v>21</v>
      </c>
      <c r="M667">
        <v>25</v>
      </c>
      <c r="N667" s="3">
        <v>5813.53</v>
      </c>
      <c r="O667" t="s">
        <v>22</v>
      </c>
    </row>
    <row r="668" spans="1:15" x14ac:dyDescent="0.2">
      <c r="A668" t="s">
        <v>1009</v>
      </c>
      <c r="B668" t="s">
        <v>296</v>
      </c>
      <c r="C668">
        <v>70</v>
      </c>
      <c r="D668" t="s">
        <v>25</v>
      </c>
      <c r="E668" t="s">
        <v>26</v>
      </c>
      <c r="F668" t="s">
        <v>27</v>
      </c>
      <c r="G668" s="2">
        <v>45783</v>
      </c>
      <c r="H668" t="s">
        <v>33</v>
      </c>
      <c r="I668" s="3">
        <v>4169736</v>
      </c>
      <c r="J668">
        <v>838</v>
      </c>
      <c r="K668" t="s">
        <v>20</v>
      </c>
      <c r="L668" t="s">
        <v>21</v>
      </c>
      <c r="M668">
        <v>60</v>
      </c>
      <c r="N668" s="3">
        <v>57101.14</v>
      </c>
      <c r="O668" t="s">
        <v>22</v>
      </c>
    </row>
    <row r="669" spans="1:15" x14ac:dyDescent="0.2">
      <c r="A669" t="s">
        <v>1010</v>
      </c>
      <c r="B669" t="s">
        <v>1011</v>
      </c>
      <c r="C669">
        <v>28</v>
      </c>
      <c r="D669" t="s">
        <v>128</v>
      </c>
      <c r="E669" t="s">
        <v>56</v>
      </c>
      <c r="F669" t="s">
        <v>100</v>
      </c>
      <c r="G669" s="2">
        <v>45700</v>
      </c>
      <c r="H669" t="s">
        <v>28</v>
      </c>
      <c r="I669" s="3">
        <v>2723055</v>
      </c>
      <c r="J669">
        <v>653</v>
      </c>
      <c r="K669" t="s">
        <v>29</v>
      </c>
      <c r="L669" t="s">
        <v>38</v>
      </c>
      <c r="M669">
        <v>79</v>
      </c>
      <c r="N669" s="3">
        <v>2578.19</v>
      </c>
      <c r="O669" t="s">
        <v>22</v>
      </c>
    </row>
    <row r="670" spans="1:15" x14ac:dyDescent="0.2">
      <c r="A670" t="s">
        <v>1012</v>
      </c>
      <c r="B670" t="s">
        <v>330</v>
      </c>
      <c r="C670">
        <v>61</v>
      </c>
      <c r="D670" t="s">
        <v>16</v>
      </c>
      <c r="E670" t="s">
        <v>26</v>
      </c>
      <c r="F670" t="s">
        <v>18</v>
      </c>
      <c r="G670" s="2">
        <v>45768</v>
      </c>
      <c r="H670" t="s">
        <v>28</v>
      </c>
      <c r="I670" s="3">
        <v>1577877</v>
      </c>
      <c r="J670">
        <v>704</v>
      </c>
      <c r="K670" t="s">
        <v>67</v>
      </c>
      <c r="L670" t="s">
        <v>45</v>
      </c>
      <c r="M670">
        <v>24</v>
      </c>
      <c r="N670" s="3">
        <v>500</v>
      </c>
      <c r="O670" t="s">
        <v>22</v>
      </c>
    </row>
    <row r="671" spans="1:15" x14ac:dyDescent="0.2">
      <c r="A671" t="s">
        <v>1013</v>
      </c>
      <c r="B671" t="s">
        <v>259</v>
      </c>
      <c r="C671">
        <v>26</v>
      </c>
      <c r="D671" t="s">
        <v>128</v>
      </c>
      <c r="E671" t="s">
        <v>26</v>
      </c>
      <c r="F671" t="s">
        <v>18</v>
      </c>
      <c r="G671" s="2">
        <v>45840</v>
      </c>
      <c r="H671" t="s">
        <v>28</v>
      </c>
      <c r="I671" s="3">
        <v>4426852</v>
      </c>
      <c r="J671">
        <v>767</v>
      </c>
      <c r="K671" t="s">
        <v>78</v>
      </c>
      <c r="M671">
        <v>15</v>
      </c>
      <c r="N671" s="3">
        <v>49021.13</v>
      </c>
      <c r="O671" t="s">
        <v>22</v>
      </c>
    </row>
    <row r="672" spans="1:15" x14ac:dyDescent="0.2">
      <c r="A672" t="s">
        <v>1014</v>
      </c>
      <c r="B672" t="s">
        <v>96</v>
      </c>
      <c r="C672">
        <v>25</v>
      </c>
      <c r="D672" t="s">
        <v>48</v>
      </c>
      <c r="E672" t="s">
        <v>26</v>
      </c>
      <c r="F672" t="s">
        <v>27</v>
      </c>
      <c r="G672" s="2">
        <v>45752</v>
      </c>
      <c r="H672" t="s">
        <v>28</v>
      </c>
      <c r="I672" s="3">
        <v>2937328</v>
      </c>
      <c r="J672">
        <v>833</v>
      </c>
      <c r="K672" t="s">
        <v>29</v>
      </c>
      <c r="L672" t="s">
        <v>45</v>
      </c>
      <c r="M672">
        <v>95</v>
      </c>
      <c r="N672" s="3">
        <v>2471.67</v>
      </c>
      <c r="O672" t="s">
        <v>39</v>
      </c>
    </row>
    <row r="673" spans="1:15" x14ac:dyDescent="0.2">
      <c r="A673" t="s">
        <v>1015</v>
      </c>
      <c r="B673" t="s">
        <v>870</v>
      </c>
      <c r="C673">
        <v>64</v>
      </c>
      <c r="D673" t="s">
        <v>89</v>
      </c>
      <c r="E673" t="s">
        <v>17</v>
      </c>
      <c r="F673" t="s">
        <v>27</v>
      </c>
      <c r="G673" s="2">
        <v>46031</v>
      </c>
      <c r="H673" t="s">
        <v>52</v>
      </c>
      <c r="I673" s="3">
        <v>2149955</v>
      </c>
      <c r="J673">
        <v>814</v>
      </c>
      <c r="K673" t="s">
        <v>29</v>
      </c>
      <c r="L673" t="s">
        <v>45</v>
      </c>
      <c r="M673">
        <v>14</v>
      </c>
      <c r="N673" s="3">
        <v>6627.95</v>
      </c>
      <c r="O673" t="s">
        <v>22</v>
      </c>
    </row>
    <row r="674" spans="1:15" x14ac:dyDescent="0.2">
      <c r="A674" t="s">
        <v>1016</v>
      </c>
      <c r="B674" t="s">
        <v>119</v>
      </c>
      <c r="C674">
        <v>49</v>
      </c>
      <c r="D674" t="s">
        <v>75</v>
      </c>
      <c r="E674" t="s">
        <v>56</v>
      </c>
      <c r="F674" t="s">
        <v>18</v>
      </c>
      <c r="G674" s="2">
        <v>46177</v>
      </c>
      <c r="H674" t="s">
        <v>52</v>
      </c>
      <c r="I674" s="3">
        <v>2155888</v>
      </c>
      <c r="J674">
        <v>829</v>
      </c>
      <c r="K674" t="s">
        <v>20</v>
      </c>
      <c r="L674" t="s">
        <v>21</v>
      </c>
      <c r="M674">
        <v>54</v>
      </c>
      <c r="N674" s="3">
        <v>6025.14</v>
      </c>
      <c r="O674" t="s">
        <v>22</v>
      </c>
    </row>
    <row r="675" spans="1:15" x14ac:dyDescent="0.2">
      <c r="A675" t="s">
        <v>1017</v>
      </c>
      <c r="B675" t="s">
        <v>327</v>
      </c>
      <c r="C675">
        <v>48</v>
      </c>
      <c r="D675" t="s">
        <v>51</v>
      </c>
      <c r="E675" t="s">
        <v>83</v>
      </c>
      <c r="F675" t="s">
        <v>27</v>
      </c>
      <c r="G675" s="2">
        <v>46017</v>
      </c>
      <c r="H675" t="s">
        <v>28</v>
      </c>
      <c r="I675" s="3">
        <v>4448811</v>
      </c>
      <c r="J675">
        <v>651</v>
      </c>
      <c r="K675" t="s">
        <v>86</v>
      </c>
      <c r="L675" t="s">
        <v>45</v>
      </c>
      <c r="M675">
        <v>78</v>
      </c>
      <c r="N675" s="3">
        <v>32641.37</v>
      </c>
      <c r="O675" t="s">
        <v>22</v>
      </c>
    </row>
    <row r="676" spans="1:15" x14ac:dyDescent="0.2">
      <c r="A676" t="s">
        <v>1018</v>
      </c>
      <c r="B676" t="s">
        <v>1019</v>
      </c>
      <c r="C676">
        <v>31</v>
      </c>
      <c r="D676" t="s">
        <v>128</v>
      </c>
      <c r="E676" t="s">
        <v>17</v>
      </c>
      <c r="F676" t="s">
        <v>27</v>
      </c>
      <c r="G676" s="2">
        <v>45938</v>
      </c>
      <c r="H676" t="s">
        <v>44</v>
      </c>
      <c r="I676" s="3">
        <v>922225</v>
      </c>
      <c r="J676">
        <v>814</v>
      </c>
      <c r="K676" t="s">
        <v>20</v>
      </c>
      <c r="L676" t="s">
        <v>30</v>
      </c>
      <c r="M676">
        <v>6</v>
      </c>
      <c r="N676" s="3">
        <v>40400.57</v>
      </c>
      <c r="O676" t="s">
        <v>22</v>
      </c>
    </row>
    <row r="677" spans="1:15" x14ac:dyDescent="0.2">
      <c r="A677" t="s">
        <v>1020</v>
      </c>
      <c r="B677" t="s">
        <v>287</v>
      </c>
      <c r="C677">
        <v>21</v>
      </c>
      <c r="D677" t="s">
        <v>89</v>
      </c>
      <c r="E677" t="s">
        <v>26</v>
      </c>
      <c r="F677" t="s">
        <v>43</v>
      </c>
      <c r="G677" s="2">
        <v>45852</v>
      </c>
      <c r="H677" t="s">
        <v>28</v>
      </c>
      <c r="I677" s="3">
        <v>3760463</v>
      </c>
      <c r="J677">
        <v>735</v>
      </c>
      <c r="K677" t="s">
        <v>78</v>
      </c>
      <c r="L677" t="s">
        <v>30</v>
      </c>
      <c r="M677">
        <v>78</v>
      </c>
      <c r="N677" s="3">
        <v>2305.39</v>
      </c>
      <c r="O677" t="s">
        <v>22</v>
      </c>
    </row>
    <row r="678" spans="1:15" x14ac:dyDescent="0.2">
      <c r="A678" t="s">
        <v>1021</v>
      </c>
      <c r="B678" t="s">
        <v>475</v>
      </c>
      <c r="C678">
        <v>63</v>
      </c>
      <c r="D678" t="s">
        <v>48</v>
      </c>
      <c r="E678" t="s">
        <v>26</v>
      </c>
      <c r="F678" t="s">
        <v>27</v>
      </c>
      <c r="G678" s="2">
        <v>45852</v>
      </c>
      <c r="H678" t="s">
        <v>28</v>
      </c>
      <c r="I678" s="3">
        <v>1690334</v>
      </c>
      <c r="J678">
        <v>694</v>
      </c>
      <c r="K678" t="s">
        <v>34</v>
      </c>
      <c r="L678" t="s">
        <v>58</v>
      </c>
      <c r="M678">
        <v>81</v>
      </c>
      <c r="N678" s="3">
        <v>37225.72</v>
      </c>
      <c r="O678" t="s">
        <v>22</v>
      </c>
    </row>
    <row r="679" spans="1:15" x14ac:dyDescent="0.2">
      <c r="A679" t="s">
        <v>1022</v>
      </c>
      <c r="B679" t="s">
        <v>264</v>
      </c>
      <c r="C679">
        <v>39</v>
      </c>
      <c r="D679" t="s">
        <v>51</v>
      </c>
      <c r="E679" t="s">
        <v>17</v>
      </c>
      <c r="F679" t="s">
        <v>27</v>
      </c>
      <c r="G679" s="2">
        <v>45750</v>
      </c>
      <c r="H679" t="s">
        <v>28</v>
      </c>
      <c r="I679" s="3">
        <v>2374365</v>
      </c>
      <c r="J679">
        <v>807</v>
      </c>
      <c r="K679" t="s">
        <v>20</v>
      </c>
      <c r="L679" t="s">
        <v>38</v>
      </c>
      <c r="M679">
        <v>18</v>
      </c>
      <c r="N679" s="3">
        <v>36509.61</v>
      </c>
      <c r="O679" t="s">
        <v>22</v>
      </c>
    </row>
    <row r="680" spans="1:15" x14ac:dyDescent="0.2">
      <c r="A680" t="s">
        <v>1023</v>
      </c>
      <c r="B680" t="s">
        <v>423</v>
      </c>
      <c r="C680">
        <v>29</v>
      </c>
      <c r="D680" t="s">
        <v>128</v>
      </c>
      <c r="E680" t="s">
        <v>26</v>
      </c>
      <c r="F680" t="s">
        <v>27</v>
      </c>
      <c r="G680" s="2">
        <v>45718</v>
      </c>
      <c r="H680" t="s">
        <v>28</v>
      </c>
      <c r="I680" s="3">
        <v>3320610</v>
      </c>
      <c r="J680">
        <v>824</v>
      </c>
      <c r="K680" t="s">
        <v>57</v>
      </c>
      <c r="L680" t="s">
        <v>45</v>
      </c>
      <c r="M680">
        <v>20</v>
      </c>
      <c r="N680" s="3">
        <v>9139.15</v>
      </c>
      <c r="O680" t="s">
        <v>39</v>
      </c>
    </row>
    <row r="681" spans="1:15" x14ac:dyDescent="0.2">
      <c r="A681" t="s">
        <v>1024</v>
      </c>
      <c r="B681" t="s">
        <v>568</v>
      </c>
      <c r="C681">
        <v>47</v>
      </c>
      <c r="D681" t="s">
        <v>105</v>
      </c>
      <c r="E681" t="s">
        <v>17</v>
      </c>
      <c r="F681" t="s">
        <v>27</v>
      </c>
      <c r="G681" s="2">
        <v>45708</v>
      </c>
      <c r="I681" s="3">
        <v>3453178</v>
      </c>
      <c r="J681">
        <v>593</v>
      </c>
      <c r="K681" t="s">
        <v>29</v>
      </c>
      <c r="L681" t="s">
        <v>38</v>
      </c>
      <c r="M681">
        <v>115</v>
      </c>
      <c r="N681" s="3">
        <v>23841.18</v>
      </c>
      <c r="O681" t="s">
        <v>22</v>
      </c>
    </row>
    <row r="682" spans="1:15" x14ac:dyDescent="0.2">
      <c r="A682" t="s">
        <v>1025</v>
      </c>
      <c r="B682" t="s">
        <v>713</v>
      </c>
      <c r="C682">
        <v>54</v>
      </c>
      <c r="D682" t="s">
        <v>89</v>
      </c>
      <c r="E682" t="s">
        <v>26</v>
      </c>
      <c r="F682" t="s">
        <v>100</v>
      </c>
      <c r="G682" s="2">
        <v>46060</v>
      </c>
      <c r="H682" t="s">
        <v>28</v>
      </c>
      <c r="I682" s="3">
        <v>647693</v>
      </c>
      <c r="J682">
        <v>595</v>
      </c>
      <c r="K682" t="s">
        <v>86</v>
      </c>
      <c r="L682" t="s">
        <v>38</v>
      </c>
      <c r="M682">
        <v>62</v>
      </c>
      <c r="N682" s="3">
        <v>26488.65</v>
      </c>
      <c r="O682" t="s">
        <v>22</v>
      </c>
    </row>
    <row r="683" spans="1:15" x14ac:dyDescent="0.2">
      <c r="A683" t="s">
        <v>1026</v>
      </c>
      <c r="B683" t="s">
        <v>854</v>
      </c>
      <c r="C683">
        <v>64</v>
      </c>
      <c r="D683" t="s">
        <v>51</v>
      </c>
      <c r="E683" t="s">
        <v>26</v>
      </c>
      <c r="F683" t="s">
        <v>27</v>
      </c>
      <c r="G683" s="2">
        <v>45662</v>
      </c>
      <c r="H683" t="s">
        <v>28</v>
      </c>
      <c r="I683" s="3">
        <v>3982238</v>
      </c>
      <c r="J683">
        <v>621</v>
      </c>
      <c r="K683" t="s">
        <v>67</v>
      </c>
      <c r="L683" t="s">
        <v>38</v>
      </c>
      <c r="M683">
        <v>81</v>
      </c>
      <c r="N683" s="3">
        <v>6870.22</v>
      </c>
      <c r="O683" t="s">
        <v>22</v>
      </c>
    </row>
    <row r="684" spans="1:15" x14ac:dyDescent="0.2">
      <c r="A684" t="s">
        <v>1027</v>
      </c>
      <c r="B684" t="s">
        <v>1028</v>
      </c>
      <c r="C684">
        <v>24</v>
      </c>
      <c r="D684" t="s">
        <v>128</v>
      </c>
      <c r="E684" t="s">
        <v>26</v>
      </c>
      <c r="F684" t="s">
        <v>27</v>
      </c>
      <c r="G684" s="2">
        <v>46123</v>
      </c>
      <c r="H684" t="s">
        <v>19</v>
      </c>
      <c r="I684" s="3">
        <v>2222613</v>
      </c>
      <c r="J684">
        <v>689</v>
      </c>
      <c r="K684" t="s">
        <v>92</v>
      </c>
      <c r="L684" t="s">
        <v>38</v>
      </c>
      <c r="M684">
        <v>80</v>
      </c>
      <c r="N684" s="3">
        <v>7589.76</v>
      </c>
      <c r="O684" t="s">
        <v>22</v>
      </c>
    </row>
    <row r="685" spans="1:15" x14ac:dyDescent="0.2">
      <c r="A685" t="s">
        <v>1029</v>
      </c>
      <c r="B685" t="s">
        <v>179</v>
      </c>
      <c r="C685">
        <v>56</v>
      </c>
      <c r="D685" t="s">
        <v>89</v>
      </c>
      <c r="E685" t="s">
        <v>26</v>
      </c>
      <c r="F685" t="s">
        <v>27</v>
      </c>
      <c r="G685" s="2">
        <v>46261</v>
      </c>
      <c r="H685" t="s">
        <v>28</v>
      </c>
      <c r="I685" s="3">
        <v>2865880</v>
      </c>
      <c r="J685">
        <v>598</v>
      </c>
      <c r="K685" t="s">
        <v>78</v>
      </c>
      <c r="L685" t="s">
        <v>30</v>
      </c>
      <c r="M685">
        <v>40</v>
      </c>
      <c r="N685" s="3">
        <v>16627.189999999999</v>
      </c>
      <c r="O685" t="s">
        <v>39</v>
      </c>
    </row>
    <row r="686" spans="1:15" x14ac:dyDescent="0.2">
      <c r="A686" t="s">
        <v>1030</v>
      </c>
      <c r="B686" t="s">
        <v>496</v>
      </c>
      <c r="C686">
        <v>38</v>
      </c>
      <c r="D686" t="s">
        <v>48</v>
      </c>
      <c r="E686" t="s">
        <v>26</v>
      </c>
      <c r="F686" t="s">
        <v>18</v>
      </c>
      <c r="G686" s="2">
        <v>46191</v>
      </c>
      <c r="H686" t="s">
        <v>28</v>
      </c>
      <c r="I686" s="3">
        <v>4074484</v>
      </c>
      <c r="J686">
        <v>645</v>
      </c>
      <c r="K686" t="s">
        <v>92</v>
      </c>
      <c r="L686" t="s">
        <v>45</v>
      </c>
      <c r="M686">
        <v>39</v>
      </c>
      <c r="N686" s="3">
        <v>1619.79</v>
      </c>
      <c r="O686" t="s">
        <v>39</v>
      </c>
    </row>
    <row r="687" spans="1:15" x14ac:dyDescent="0.2">
      <c r="A687" t="s">
        <v>1031</v>
      </c>
      <c r="B687" t="s">
        <v>944</v>
      </c>
      <c r="C687">
        <v>35</v>
      </c>
      <c r="D687" t="s">
        <v>128</v>
      </c>
      <c r="E687" t="s">
        <v>26</v>
      </c>
      <c r="F687" t="s">
        <v>27</v>
      </c>
      <c r="G687" s="2">
        <v>46062</v>
      </c>
      <c r="H687" t="s">
        <v>28</v>
      </c>
      <c r="I687" s="3">
        <v>3408483</v>
      </c>
      <c r="J687">
        <v>746</v>
      </c>
      <c r="K687" t="s">
        <v>29</v>
      </c>
      <c r="L687" t="s">
        <v>58</v>
      </c>
      <c r="M687">
        <v>52</v>
      </c>
      <c r="N687" s="3">
        <v>6176.48</v>
      </c>
      <c r="O687" t="s">
        <v>22</v>
      </c>
    </row>
    <row r="688" spans="1:15" x14ac:dyDescent="0.2">
      <c r="A688" t="s">
        <v>1032</v>
      </c>
      <c r="B688" t="s">
        <v>594</v>
      </c>
      <c r="C688">
        <v>33</v>
      </c>
      <c r="D688" t="s">
        <v>128</v>
      </c>
      <c r="E688" t="s">
        <v>83</v>
      </c>
      <c r="F688" t="s">
        <v>43</v>
      </c>
      <c r="G688" s="2">
        <v>46170</v>
      </c>
      <c r="H688" t="s">
        <v>33</v>
      </c>
      <c r="I688" s="3">
        <v>3585705</v>
      </c>
      <c r="J688">
        <v>652</v>
      </c>
      <c r="K688" t="s">
        <v>20</v>
      </c>
      <c r="L688" t="s">
        <v>38</v>
      </c>
      <c r="M688">
        <v>32</v>
      </c>
      <c r="N688" s="3">
        <v>2539.25</v>
      </c>
      <c r="O688" t="s">
        <v>22</v>
      </c>
    </row>
    <row r="689" spans="1:15" x14ac:dyDescent="0.2">
      <c r="A689" t="s">
        <v>1033</v>
      </c>
      <c r="B689" t="s">
        <v>460</v>
      </c>
      <c r="C689">
        <v>39</v>
      </c>
      <c r="D689" t="s">
        <v>128</v>
      </c>
      <c r="E689" t="s">
        <v>26</v>
      </c>
      <c r="F689" t="s">
        <v>27</v>
      </c>
      <c r="G689" s="2">
        <v>45890</v>
      </c>
      <c r="H689" t="s">
        <v>28</v>
      </c>
      <c r="I689" s="3">
        <v>1594091</v>
      </c>
      <c r="J689">
        <v>691</v>
      </c>
      <c r="K689" t="s">
        <v>92</v>
      </c>
      <c r="L689" t="s">
        <v>58</v>
      </c>
      <c r="M689">
        <v>108</v>
      </c>
      <c r="N689" s="3">
        <v>39924.97</v>
      </c>
      <c r="O689" t="s">
        <v>22</v>
      </c>
    </row>
    <row r="690" spans="1:15" x14ac:dyDescent="0.2">
      <c r="A690" t="s">
        <v>1034</v>
      </c>
      <c r="B690" t="s">
        <v>594</v>
      </c>
      <c r="C690">
        <v>69</v>
      </c>
      <c r="D690" t="s">
        <v>70</v>
      </c>
      <c r="E690" t="s">
        <v>17</v>
      </c>
      <c r="F690" t="s">
        <v>27</v>
      </c>
      <c r="G690" s="2">
        <v>46181</v>
      </c>
      <c r="H690" t="s">
        <v>44</v>
      </c>
      <c r="I690" s="3">
        <v>654470</v>
      </c>
      <c r="J690">
        <v>664</v>
      </c>
      <c r="K690" t="s">
        <v>57</v>
      </c>
      <c r="L690" t="s">
        <v>30</v>
      </c>
      <c r="M690">
        <v>73</v>
      </c>
      <c r="N690" s="3">
        <v>6100.57</v>
      </c>
      <c r="O690" t="s">
        <v>335</v>
      </c>
    </row>
    <row r="691" spans="1:15" x14ac:dyDescent="0.2">
      <c r="A691" t="s">
        <v>1035</v>
      </c>
      <c r="B691" t="s">
        <v>709</v>
      </c>
      <c r="C691">
        <v>26</v>
      </c>
      <c r="D691" t="s">
        <v>42</v>
      </c>
      <c r="E691" t="s">
        <v>56</v>
      </c>
      <c r="F691" t="s">
        <v>27</v>
      </c>
      <c r="G691" s="2">
        <v>46003</v>
      </c>
      <c r="H691" t="s">
        <v>28</v>
      </c>
      <c r="I691" s="3">
        <v>1041624</v>
      </c>
      <c r="J691">
        <v>718</v>
      </c>
      <c r="K691" t="s">
        <v>20</v>
      </c>
      <c r="L691" t="s">
        <v>30</v>
      </c>
      <c r="M691">
        <v>27</v>
      </c>
      <c r="N691" s="3">
        <v>11970.4</v>
      </c>
      <c r="O691" t="s">
        <v>22</v>
      </c>
    </row>
    <row r="692" spans="1:15" x14ac:dyDescent="0.2">
      <c r="A692" t="s">
        <v>1036</v>
      </c>
      <c r="B692" t="s">
        <v>886</v>
      </c>
      <c r="C692">
        <v>68</v>
      </c>
      <c r="D692" t="s">
        <v>70</v>
      </c>
      <c r="E692" t="s">
        <v>83</v>
      </c>
      <c r="F692" t="s">
        <v>18</v>
      </c>
      <c r="G692" s="2">
        <v>45703</v>
      </c>
      <c r="H692" t="s">
        <v>33</v>
      </c>
      <c r="I692" s="3">
        <v>1851207</v>
      </c>
      <c r="J692">
        <v>618</v>
      </c>
      <c r="K692" t="s">
        <v>29</v>
      </c>
      <c r="L692" t="s">
        <v>21</v>
      </c>
      <c r="M692">
        <v>110</v>
      </c>
      <c r="N692" s="3">
        <v>7120.03</v>
      </c>
      <c r="O692" t="s">
        <v>22</v>
      </c>
    </row>
    <row r="693" spans="1:15" x14ac:dyDescent="0.2">
      <c r="A693" t="s">
        <v>1037</v>
      </c>
      <c r="B693" t="s">
        <v>296</v>
      </c>
      <c r="C693">
        <v>32</v>
      </c>
      <c r="D693" t="s">
        <v>105</v>
      </c>
      <c r="E693" t="s">
        <v>17</v>
      </c>
      <c r="F693" t="s">
        <v>100</v>
      </c>
      <c r="G693" s="2">
        <v>46203</v>
      </c>
      <c r="H693" t="s">
        <v>33</v>
      </c>
      <c r="I693" s="3">
        <v>1857245</v>
      </c>
      <c r="J693">
        <v>684</v>
      </c>
      <c r="K693" t="s">
        <v>92</v>
      </c>
      <c r="L693" t="s">
        <v>38</v>
      </c>
      <c r="M693">
        <v>52</v>
      </c>
      <c r="N693" s="3">
        <v>6649.8</v>
      </c>
      <c r="O693" t="s">
        <v>39</v>
      </c>
    </row>
    <row r="694" spans="1:15" x14ac:dyDescent="0.2">
      <c r="A694" t="s">
        <v>1038</v>
      </c>
      <c r="B694" t="s">
        <v>152</v>
      </c>
      <c r="C694">
        <v>57</v>
      </c>
      <c r="D694" t="s">
        <v>48</v>
      </c>
      <c r="E694" t="s">
        <v>56</v>
      </c>
      <c r="F694" t="s">
        <v>27</v>
      </c>
      <c r="G694" s="2">
        <v>45735</v>
      </c>
      <c r="H694" t="s">
        <v>28</v>
      </c>
      <c r="I694" s="3">
        <v>3245035</v>
      </c>
      <c r="J694">
        <v>702</v>
      </c>
      <c r="K694" t="s">
        <v>67</v>
      </c>
      <c r="L694" t="s">
        <v>21</v>
      </c>
      <c r="M694">
        <v>97</v>
      </c>
      <c r="N694" s="3">
        <v>11175.9</v>
      </c>
      <c r="O694" t="s">
        <v>22</v>
      </c>
    </row>
    <row r="695" spans="1:15" x14ac:dyDescent="0.2">
      <c r="A695" t="s">
        <v>1039</v>
      </c>
      <c r="B695" t="s">
        <v>681</v>
      </c>
      <c r="C695">
        <v>37</v>
      </c>
      <c r="D695" t="s">
        <v>70</v>
      </c>
      <c r="E695" t="s">
        <v>26</v>
      </c>
      <c r="F695" t="s">
        <v>43</v>
      </c>
      <c r="G695" s="2">
        <v>45730</v>
      </c>
      <c r="H695" t="s">
        <v>28</v>
      </c>
      <c r="I695" s="3">
        <v>2559305</v>
      </c>
      <c r="J695">
        <v>797</v>
      </c>
      <c r="K695" t="s">
        <v>34</v>
      </c>
      <c r="L695" t="s">
        <v>58</v>
      </c>
      <c r="M695">
        <v>63</v>
      </c>
      <c r="N695" s="3">
        <v>4158.1400000000003</v>
      </c>
      <c r="O695" t="s">
        <v>22</v>
      </c>
    </row>
    <row r="696" spans="1:15" x14ac:dyDescent="0.2">
      <c r="A696" t="s">
        <v>1040</v>
      </c>
      <c r="B696" t="s">
        <v>323</v>
      </c>
      <c r="C696">
        <v>43</v>
      </c>
      <c r="D696" t="s">
        <v>51</v>
      </c>
      <c r="E696" t="s">
        <v>26</v>
      </c>
      <c r="F696" t="s">
        <v>100</v>
      </c>
      <c r="G696" s="2">
        <v>45906</v>
      </c>
      <c r="H696" t="s">
        <v>28</v>
      </c>
      <c r="I696" s="3">
        <v>3106188</v>
      </c>
      <c r="J696">
        <v>640</v>
      </c>
      <c r="K696" t="s">
        <v>78</v>
      </c>
      <c r="L696" t="s">
        <v>45</v>
      </c>
      <c r="M696">
        <v>74</v>
      </c>
      <c r="N696" s="3">
        <v>7270.6</v>
      </c>
      <c r="O696" t="s">
        <v>22</v>
      </c>
    </row>
    <row r="697" spans="1:15" x14ac:dyDescent="0.2">
      <c r="A697" t="s">
        <v>1041</v>
      </c>
      <c r="B697" t="s">
        <v>362</v>
      </c>
      <c r="C697">
        <v>46</v>
      </c>
      <c r="D697" t="s">
        <v>37</v>
      </c>
      <c r="E697" t="s">
        <v>26</v>
      </c>
      <c r="F697" t="s">
        <v>27</v>
      </c>
      <c r="G697" s="2">
        <v>45704</v>
      </c>
      <c r="H697" t="s">
        <v>33</v>
      </c>
      <c r="I697" s="3">
        <v>2793628</v>
      </c>
      <c r="J697">
        <v>679</v>
      </c>
      <c r="K697" t="s">
        <v>92</v>
      </c>
      <c r="L697" t="s">
        <v>21</v>
      </c>
      <c r="M697">
        <v>63</v>
      </c>
      <c r="N697" s="3">
        <v>7214.62</v>
      </c>
      <c r="O697" t="s">
        <v>22</v>
      </c>
    </row>
    <row r="698" spans="1:15" x14ac:dyDescent="0.2">
      <c r="A698" t="s">
        <v>1042</v>
      </c>
      <c r="B698" t="s">
        <v>205</v>
      </c>
      <c r="C698">
        <v>49</v>
      </c>
      <c r="D698" t="s">
        <v>42</v>
      </c>
      <c r="E698" t="s">
        <v>17</v>
      </c>
      <c r="F698" t="s">
        <v>18</v>
      </c>
      <c r="G698" s="2">
        <v>45778</v>
      </c>
      <c r="H698" t="s">
        <v>28</v>
      </c>
      <c r="I698" s="3">
        <v>734427</v>
      </c>
      <c r="J698">
        <v>783</v>
      </c>
      <c r="K698" t="s">
        <v>67</v>
      </c>
      <c r="L698" t="s">
        <v>30</v>
      </c>
      <c r="M698">
        <v>17</v>
      </c>
      <c r="N698" s="3">
        <v>5742.35</v>
      </c>
      <c r="O698" t="s">
        <v>22</v>
      </c>
    </row>
    <row r="699" spans="1:15" x14ac:dyDescent="0.2">
      <c r="A699" t="s">
        <v>1043</v>
      </c>
      <c r="B699" t="s">
        <v>563</v>
      </c>
      <c r="C699">
        <v>53</v>
      </c>
      <c r="D699" t="s">
        <v>25</v>
      </c>
      <c r="E699" t="s">
        <v>17</v>
      </c>
      <c r="F699" t="s">
        <v>27</v>
      </c>
      <c r="G699" s="2">
        <v>45871</v>
      </c>
      <c r="H699" t="s">
        <v>28</v>
      </c>
      <c r="I699" s="3">
        <v>2667714</v>
      </c>
      <c r="J699">
        <v>837</v>
      </c>
      <c r="K699" t="s">
        <v>34</v>
      </c>
      <c r="L699" t="s">
        <v>38</v>
      </c>
      <c r="M699">
        <v>113</v>
      </c>
      <c r="N699" s="3">
        <v>13502.22</v>
      </c>
      <c r="O699" t="s">
        <v>22</v>
      </c>
    </row>
    <row r="700" spans="1:15" x14ac:dyDescent="0.2">
      <c r="A700" t="s">
        <v>1044</v>
      </c>
      <c r="B700" t="s">
        <v>397</v>
      </c>
      <c r="C700">
        <v>47</v>
      </c>
      <c r="D700" t="s">
        <v>37</v>
      </c>
      <c r="E700" t="s">
        <v>26</v>
      </c>
      <c r="F700" t="s">
        <v>100</v>
      </c>
      <c r="G700" s="2">
        <v>45896</v>
      </c>
      <c r="H700" t="s">
        <v>19</v>
      </c>
      <c r="I700" s="3">
        <v>4208905</v>
      </c>
      <c r="J700">
        <v>584</v>
      </c>
      <c r="K700" t="s">
        <v>34</v>
      </c>
      <c r="L700" t="s">
        <v>58</v>
      </c>
      <c r="M700">
        <v>49</v>
      </c>
      <c r="N700" s="3">
        <v>5600.74</v>
      </c>
      <c r="O700" t="s">
        <v>22</v>
      </c>
    </row>
    <row r="701" spans="1:15" x14ac:dyDescent="0.2">
      <c r="A701" t="s">
        <v>1045</v>
      </c>
      <c r="B701" t="s">
        <v>190</v>
      </c>
      <c r="C701">
        <v>45</v>
      </c>
      <c r="D701" t="s">
        <v>42</v>
      </c>
      <c r="E701" t="s">
        <v>26</v>
      </c>
      <c r="F701" t="s">
        <v>18</v>
      </c>
      <c r="G701" s="2">
        <v>45713</v>
      </c>
      <c r="H701" t="s">
        <v>28</v>
      </c>
      <c r="I701" s="3">
        <v>4333372</v>
      </c>
      <c r="J701">
        <v>776</v>
      </c>
      <c r="K701" t="s">
        <v>92</v>
      </c>
      <c r="L701" t="s">
        <v>30</v>
      </c>
      <c r="M701">
        <v>100</v>
      </c>
      <c r="N701" s="3">
        <v>48614.19</v>
      </c>
      <c r="O701" t="s">
        <v>22</v>
      </c>
    </row>
    <row r="702" spans="1:15" x14ac:dyDescent="0.2">
      <c r="A702" t="s">
        <v>1046</v>
      </c>
      <c r="B702" t="s">
        <v>1047</v>
      </c>
      <c r="C702">
        <v>30</v>
      </c>
      <c r="D702" t="s">
        <v>75</v>
      </c>
      <c r="E702" t="s">
        <v>17</v>
      </c>
      <c r="F702" t="s">
        <v>100</v>
      </c>
      <c r="G702" s="2">
        <v>46007</v>
      </c>
      <c r="H702" t="s">
        <v>52</v>
      </c>
      <c r="I702" s="3">
        <v>1359229</v>
      </c>
      <c r="J702">
        <v>759</v>
      </c>
      <c r="K702" t="s">
        <v>86</v>
      </c>
      <c r="L702" t="s">
        <v>45</v>
      </c>
      <c r="M702">
        <v>81</v>
      </c>
      <c r="N702" s="3">
        <v>17333.78</v>
      </c>
      <c r="O702" t="s">
        <v>22</v>
      </c>
    </row>
    <row r="703" spans="1:15" x14ac:dyDescent="0.2">
      <c r="A703" t="s">
        <v>1048</v>
      </c>
      <c r="B703" t="s">
        <v>540</v>
      </c>
      <c r="C703">
        <v>67</v>
      </c>
      <c r="D703" t="s">
        <v>75</v>
      </c>
      <c r="E703" t="s">
        <v>26</v>
      </c>
      <c r="F703" t="s">
        <v>18</v>
      </c>
      <c r="G703" s="2">
        <v>45764</v>
      </c>
      <c r="H703" t="s">
        <v>52</v>
      </c>
      <c r="I703" s="3">
        <v>4143623</v>
      </c>
      <c r="J703">
        <v>712</v>
      </c>
      <c r="K703" t="s">
        <v>92</v>
      </c>
      <c r="L703" t="s">
        <v>38</v>
      </c>
      <c r="M703">
        <v>82</v>
      </c>
      <c r="N703" s="3">
        <v>2171.61</v>
      </c>
      <c r="O703" t="s">
        <v>22</v>
      </c>
    </row>
    <row r="704" spans="1:15" x14ac:dyDescent="0.2">
      <c r="A704" t="s">
        <v>1049</v>
      </c>
      <c r="B704" t="s">
        <v>800</v>
      </c>
      <c r="C704">
        <v>43</v>
      </c>
      <c r="D704" t="s">
        <v>128</v>
      </c>
      <c r="E704" t="s">
        <v>17</v>
      </c>
      <c r="F704" t="s">
        <v>27</v>
      </c>
      <c r="G704" s="2">
        <v>45705</v>
      </c>
      <c r="H704" t="s">
        <v>28</v>
      </c>
      <c r="I704" s="3">
        <v>2339884</v>
      </c>
      <c r="J704">
        <v>832</v>
      </c>
      <c r="K704" t="s">
        <v>29</v>
      </c>
      <c r="L704" t="s">
        <v>45</v>
      </c>
      <c r="M704">
        <v>116</v>
      </c>
      <c r="N704" s="3">
        <v>15969.27</v>
      </c>
      <c r="O704" t="s">
        <v>22</v>
      </c>
    </row>
    <row r="705" spans="1:15" x14ac:dyDescent="0.2">
      <c r="A705" t="s">
        <v>1050</v>
      </c>
      <c r="B705" t="s">
        <v>386</v>
      </c>
      <c r="C705">
        <v>41</v>
      </c>
      <c r="D705" t="s">
        <v>42</v>
      </c>
      <c r="E705" t="s">
        <v>17</v>
      </c>
      <c r="F705" t="s">
        <v>100</v>
      </c>
      <c r="G705" s="2">
        <v>46230</v>
      </c>
      <c r="H705" t="s">
        <v>28</v>
      </c>
      <c r="I705" s="3">
        <v>4454099</v>
      </c>
      <c r="J705">
        <v>844</v>
      </c>
      <c r="K705" t="s">
        <v>34</v>
      </c>
      <c r="L705" t="s">
        <v>45</v>
      </c>
      <c r="M705">
        <v>23</v>
      </c>
      <c r="N705" s="3">
        <v>4341.8100000000004</v>
      </c>
      <c r="O705" t="s">
        <v>22</v>
      </c>
    </row>
    <row r="706" spans="1:15" x14ac:dyDescent="0.2">
      <c r="A706" t="s">
        <v>1051</v>
      </c>
      <c r="B706" t="s">
        <v>32</v>
      </c>
      <c r="C706">
        <v>41</v>
      </c>
      <c r="D706" t="s">
        <v>25</v>
      </c>
      <c r="E706" t="s">
        <v>56</v>
      </c>
      <c r="F706" t="s">
        <v>27</v>
      </c>
      <c r="G706" s="2">
        <v>45994</v>
      </c>
      <c r="H706" t="s">
        <v>28</v>
      </c>
      <c r="I706" s="3">
        <v>3630796</v>
      </c>
      <c r="J706">
        <v>672</v>
      </c>
      <c r="K706" t="s">
        <v>78</v>
      </c>
      <c r="L706" t="s">
        <v>38</v>
      </c>
      <c r="M706">
        <v>98</v>
      </c>
      <c r="N706" s="3">
        <v>10326.56</v>
      </c>
      <c r="O706" t="s">
        <v>22</v>
      </c>
    </row>
    <row r="707" spans="1:15" x14ac:dyDescent="0.2">
      <c r="A707" t="s">
        <v>1052</v>
      </c>
      <c r="B707" t="s">
        <v>622</v>
      </c>
      <c r="C707">
        <v>63</v>
      </c>
      <c r="D707" t="s">
        <v>42</v>
      </c>
      <c r="E707" t="s">
        <v>56</v>
      </c>
      <c r="F707" t="s">
        <v>27</v>
      </c>
      <c r="G707" s="2">
        <v>45683</v>
      </c>
      <c r="H707" t="s">
        <v>33</v>
      </c>
      <c r="I707" s="3">
        <v>1761546</v>
      </c>
      <c r="J707">
        <v>729</v>
      </c>
      <c r="K707" t="s">
        <v>29</v>
      </c>
      <c r="L707" t="s">
        <v>38</v>
      </c>
      <c r="M707">
        <v>72</v>
      </c>
      <c r="N707" s="3">
        <v>4155.74</v>
      </c>
      <c r="O707" t="s">
        <v>22</v>
      </c>
    </row>
    <row r="708" spans="1:15" x14ac:dyDescent="0.2">
      <c r="A708" t="s">
        <v>1053</v>
      </c>
      <c r="B708" t="s">
        <v>445</v>
      </c>
      <c r="C708">
        <v>33</v>
      </c>
      <c r="D708" t="s">
        <v>105</v>
      </c>
      <c r="E708" t="s">
        <v>56</v>
      </c>
      <c r="F708" t="s">
        <v>18</v>
      </c>
      <c r="G708" s="2">
        <v>45914</v>
      </c>
      <c r="H708" t="s">
        <v>33</v>
      </c>
      <c r="I708" s="3">
        <v>1746030</v>
      </c>
      <c r="J708">
        <v>717</v>
      </c>
      <c r="K708" t="s">
        <v>57</v>
      </c>
      <c r="L708" t="s">
        <v>45</v>
      </c>
      <c r="M708">
        <v>13</v>
      </c>
      <c r="N708" s="3">
        <v>894.15</v>
      </c>
      <c r="O708" t="s">
        <v>22</v>
      </c>
    </row>
    <row r="709" spans="1:15" x14ac:dyDescent="0.2">
      <c r="A709" t="s">
        <v>1054</v>
      </c>
      <c r="B709" t="s">
        <v>392</v>
      </c>
      <c r="C709">
        <v>57</v>
      </c>
      <c r="D709" t="s">
        <v>37</v>
      </c>
      <c r="E709" t="s">
        <v>26</v>
      </c>
      <c r="F709" t="s">
        <v>18</v>
      </c>
      <c r="G709" s="2">
        <v>45665</v>
      </c>
      <c r="H709" t="s">
        <v>52</v>
      </c>
      <c r="I709" s="3">
        <v>3099090</v>
      </c>
      <c r="J709">
        <v>787</v>
      </c>
      <c r="K709" t="s">
        <v>20</v>
      </c>
      <c r="L709" t="s">
        <v>58</v>
      </c>
      <c r="M709">
        <v>23</v>
      </c>
      <c r="N709" s="3">
        <v>8753.25</v>
      </c>
      <c r="O709" t="s">
        <v>22</v>
      </c>
    </row>
    <row r="710" spans="1:15" x14ac:dyDescent="0.2">
      <c r="A710" t="s">
        <v>1055</v>
      </c>
      <c r="B710" t="s">
        <v>578</v>
      </c>
      <c r="C710">
        <v>53</v>
      </c>
      <c r="D710" t="s">
        <v>105</v>
      </c>
      <c r="E710" t="s">
        <v>56</v>
      </c>
      <c r="F710" t="s">
        <v>100</v>
      </c>
      <c r="G710" s="2">
        <v>45910</v>
      </c>
      <c r="H710" t="s">
        <v>44</v>
      </c>
      <c r="I710" s="3">
        <v>3562750</v>
      </c>
      <c r="J710">
        <v>704</v>
      </c>
      <c r="K710" t="s">
        <v>92</v>
      </c>
      <c r="L710" t="s">
        <v>38</v>
      </c>
      <c r="M710">
        <v>57</v>
      </c>
      <c r="N710" s="3">
        <v>1985.97</v>
      </c>
      <c r="O710" t="s">
        <v>22</v>
      </c>
    </row>
    <row r="711" spans="1:15" x14ac:dyDescent="0.2">
      <c r="A711" t="s">
        <v>1056</v>
      </c>
      <c r="B711" t="s">
        <v>188</v>
      </c>
      <c r="C711">
        <v>44</v>
      </c>
      <c r="D711" t="s">
        <v>25</v>
      </c>
      <c r="E711" t="s">
        <v>17</v>
      </c>
      <c r="F711" t="s">
        <v>27</v>
      </c>
      <c r="G711" s="2">
        <v>45960</v>
      </c>
      <c r="H711" t="s">
        <v>33</v>
      </c>
      <c r="I711" s="3">
        <v>261009</v>
      </c>
      <c r="J711">
        <v>813</v>
      </c>
      <c r="K711" t="s">
        <v>86</v>
      </c>
      <c r="L711" t="s">
        <v>30</v>
      </c>
      <c r="M711">
        <v>62</v>
      </c>
      <c r="N711" s="3">
        <v>13914.7</v>
      </c>
      <c r="O711" t="s">
        <v>22</v>
      </c>
    </row>
    <row r="712" spans="1:15" x14ac:dyDescent="0.2">
      <c r="A712" t="s">
        <v>1057</v>
      </c>
      <c r="B712" t="s">
        <v>367</v>
      </c>
      <c r="C712">
        <v>64</v>
      </c>
      <c r="D712" t="s">
        <v>42</v>
      </c>
      <c r="E712" t="s">
        <v>26</v>
      </c>
      <c r="F712" t="s">
        <v>18</v>
      </c>
      <c r="G712" s="2">
        <v>45713</v>
      </c>
      <c r="H712" t="s">
        <v>28</v>
      </c>
      <c r="I712" s="3">
        <v>1973480</v>
      </c>
      <c r="J712">
        <v>640</v>
      </c>
      <c r="K712" t="s">
        <v>78</v>
      </c>
      <c r="L712" t="s">
        <v>21</v>
      </c>
      <c r="M712">
        <v>54</v>
      </c>
      <c r="N712" s="3">
        <v>10759.28</v>
      </c>
      <c r="O712" t="s">
        <v>22</v>
      </c>
    </row>
    <row r="713" spans="1:15" x14ac:dyDescent="0.2">
      <c r="A713" t="s">
        <v>1058</v>
      </c>
      <c r="B713" t="s">
        <v>169</v>
      </c>
      <c r="C713">
        <v>31</v>
      </c>
      <c r="D713" t="s">
        <v>89</v>
      </c>
      <c r="E713" t="s">
        <v>26</v>
      </c>
      <c r="F713" t="s">
        <v>18</v>
      </c>
      <c r="G713" s="2">
        <v>46183</v>
      </c>
      <c r="H713" t="s">
        <v>28</v>
      </c>
      <c r="I713" s="3">
        <v>3949397</v>
      </c>
      <c r="J713">
        <v>845</v>
      </c>
      <c r="K713" t="s">
        <v>86</v>
      </c>
      <c r="L713" t="s">
        <v>58</v>
      </c>
      <c r="M713">
        <v>20</v>
      </c>
      <c r="N713" s="3">
        <v>4750.1000000000004</v>
      </c>
      <c r="O713" t="s">
        <v>22</v>
      </c>
    </row>
    <row r="714" spans="1:15" x14ac:dyDescent="0.2">
      <c r="A714" t="s">
        <v>1059</v>
      </c>
      <c r="B714" t="s">
        <v>445</v>
      </c>
      <c r="C714">
        <v>37</v>
      </c>
      <c r="D714" t="s">
        <v>105</v>
      </c>
      <c r="E714" t="s">
        <v>26</v>
      </c>
      <c r="F714" t="s">
        <v>27</v>
      </c>
      <c r="G714" s="2">
        <v>46131</v>
      </c>
      <c r="H714" t="s">
        <v>44</v>
      </c>
      <c r="I714" s="3">
        <v>2241367</v>
      </c>
      <c r="J714">
        <v>713</v>
      </c>
      <c r="K714" t="s">
        <v>86</v>
      </c>
      <c r="L714" t="s">
        <v>38</v>
      </c>
      <c r="M714">
        <v>86</v>
      </c>
      <c r="N714" s="3">
        <v>60889.37</v>
      </c>
      <c r="O714" t="s">
        <v>22</v>
      </c>
    </row>
    <row r="715" spans="1:15" x14ac:dyDescent="0.2">
      <c r="A715" t="s">
        <v>1060</v>
      </c>
      <c r="B715" t="s">
        <v>36</v>
      </c>
      <c r="C715">
        <v>24</v>
      </c>
      <c r="D715" t="s">
        <v>105</v>
      </c>
      <c r="E715" t="s">
        <v>26</v>
      </c>
      <c r="F715" t="s">
        <v>27</v>
      </c>
      <c r="G715" s="2">
        <v>45685</v>
      </c>
      <c r="H715" t="s">
        <v>28</v>
      </c>
      <c r="I715" s="3">
        <v>580328</v>
      </c>
      <c r="J715">
        <v>692</v>
      </c>
      <c r="K715" t="s">
        <v>86</v>
      </c>
      <c r="L715" t="s">
        <v>38</v>
      </c>
      <c r="M715">
        <v>111</v>
      </c>
      <c r="N715" s="3">
        <v>2437.5500000000002</v>
      </c>
      <c r="O715" t="s">
        <v>22</v>
      </c>
    </row>
    <row r="716" spans="1:15" x14ac:dyDescent="0.2">
      <c r="A716" t="s">
        <v>1061</v>
      </c>
      <c r="B716" t="s">
        <v>1062</v>
      </c>
      <c r="C716">
        <v>67</v>
      </c>
      <c r="D716" t="s">
        <v>16</v>
      </c>
      <c r="E716" t="s">
        <v>17</v>
      </c>
      <c r="F716" t="s">
        <v>27</v>
      </c>
      <c r="G716" s="2">
        <v>45735</v>
      </c>
      <c r="H716" t="s">
        <v>28</v>
      </c>
      <c r="I716" s="3">
        <v>2958668</v>
      </c>
      <c r="J716">
        <v>770</v>
      </c>
      <c r="K716" t="s">
        <v>92</v>
      </c>
      <c r="M716">
        <v>52</v>
      </c>
      <c r="N716" s="3">
        <v>4649.18</v>
      </c>
      <c r="O716" t="s">
        <v>22</v>
      </c>
    </row>
    <row r="717" spans="1:15" x14ac:dyDescent="0.2">
      <c r="A717" t="s">
        <v>1063</v>
      </c>
      <c r="B717" t="s">
        <v>72</v>
      </c>
      <c r="C717">
        <v>45</v>
      </c>
      <c r="D717" t="s">
        <v>42</v>
      </c>
      <c r="E717" t="s">
        <v>56</v>
      </c>
      <c r="F717" t="s">
        <v>27</v>
      </c>
      <c r="G717" s="2">
        <v>45873</v>
      </c>
      <c r="H717" t="s">
        <v>52</v>
      </c>
      <c r="I717" s="3">
        <v>1250294</v>
      </c>
      <c r="J717">
        <v>766</v>
      </c>
      <c r="K717" t="s">
        <v>78</v>
      </c>
      <c r="L717" t="s">
        <v>21</v>
      </c>
      <c r="M717">
        <v>23</v>
      </c>
      <c r="N717" s="3">
        <v>2760.79</v>
      </c>
      <c r="O717" t="s">
        <v>22</v>
      </c>
    </row>
    <row r="718" spans="1:15" x14ac:dyDescent="0.2">
      <c r="A718" t="s">
        <v>1064</v>
      </c>
      <c r="B718" t="s">
        <v>1065</v>
      </c>
      <c r="C718">
        <v>50</v>
      </c>
      <c r="D718" t="s">
        <v>105</v>
      </c>
      <c r="E718" t="s">
        <v>26</v>
      </c>
      <c r="F718" t="s">
        <v>100</v>
      </c>
      <c r="G718" s="2">
        <v>46043</v>
      </c>
      <c r="H718" t="s">
        <v>28</v>
      </c>
      <c r="I718" s="3">
        <v>3448454</v>
      </c>
      <c r="J718">
        <v>668</v>
      </c>
      <c r="K718" t="s">
        <v>78</v>
      </c>
      <c r="L718" t="s">
        <v>45</v>
      </c>
      <c r="M718">
        <v>105</v>
      </c>
      <c r="N718" s="3">
        <v>76372.800000000003</v>
      </c>
      <c r="O718" t="s">
        <v>22</v>
      </c>
    </row>
    <row r="719" spans="1:15" x14ac:dyDescent="0.2">
      <c r="A719" t="s">
        <v>1066</v>
      </c>
      <c r="B719" t="s">
        <v>492</v>
      </c>
      <c r="C719">
        <v>29</v>
      </c>
      <c r="D719" t="s">
        <v>70</v>
      </c>
      <c r="E719" t="s">
        <v>26</v>
      </c>
      <c r="F719" t="s">
        <v>43</v>
      </c>
      <c r="G719" s="2">
        <v>46022</v>
      </c>
      <c r="H719" t="s">
        <v>44</v>
      </c>
      <c r="I719" s="3">
        <v>1196984</v>
      </c>
      <c r="J719">
        <v>766</v>
      </c>
      <c r="K719" t="s">
        <v>34</v>
      </c>
      <c r="L719" t="s">
        <v>30</v>
      </c>
      <c r="M719">
        <v>35</v>
      </c>
      <c r="N719" s="3">
        <v>37043.800000000003</v>
      </c>
      <c r="O719" t="s">
        <v>22</v>
      </c>
    </row>
    <row r="720" spans="1:15" x14ac:dyDescent="0.2">
      <c r="A720" t="s">
        <v>1067</v>
      </c>
      <c r="B720" t="s">
        <v>489</v>
      </c>
      <c r="C720">
        <v>41</v>
      </c>
      <c r="D720" t="s">
        <v>48</v>
      </c>
      <c r="E720" t="s">
        <v>83</v>
      </c>
      <c r="F720" t="s">
        <v>18</v>
      </c>
      <c r="G720" s="2">
        <v>46183</v>
      </c>
      <c r="H720" t="s">
        <v>33</v>
      </c>
      <c r="I720" s="3">
        <v>2535362</v>
      </c>
      <c r="J720">
        <v>711</v>
      </c>
      <c r="K720" t="s">
        <v>86</v>
      </c>
      <c r="L720" t="s">
        <v>38</v>
      </c>
      <c r="M720">
        <v>67</v>
      </c>
      <c r="N720" s="3">
        <v>2011.77</v>
      </c>
      <c r="O720" t="s">
        <v>22</v>
      </c>
    </row>
    <row r="721" spans="1:15" x14ac:dyDescent="0.2">
      <c r="A721" t="s">
        <v>1068</v>
      </c>
      <c r="B721" t="s">
        <v>862</v>
      </c>
      <c r="C721">
        <v>40</v>
      </c>
      <c r="D721" t="s">
        <v>42</v>
      </c>
      <c r="E721" t="s">
        <v>26</v>
      </c>
      <c r="F721" t="s">
        <v>100</v>
      </c>
      <c r="G721" s="2">
        <v>45969</v>
      </c>
      <c r="H721" t="s">
        <v>28</v>
      </c>
      <c r="I721" s="3">
        <v>3092894</v>
      </c>
      <c r="J721">
        <v>702</v>
      </c>
      <c r="K721" t="s">
        <v>34</v>
      </c>
      <c r="L721" t="s">
        <v>21</v>
      </c>
      <c r="M721">
        <v>34</v>
      </c>
      <c r="N721" s="3">
        <v>3763.63</v>
      </c>
      <c r="O721" t="s">
        <v>22</v>
      </c>
    </row>
    <row r="722" spans="1:15" x14ac:dyDescent="0.2">
      <c r="A722" t="s">
        <v>1069</v>
      </c>
      <c r="B722" t="s">
        <v>213</v>
      </c>
      <c r="C722">
        <v>39</v>
      </c>
      <c r="D722" t="s">
        <v>75</v>
      </c>
      <c r="E722" t="s">
        <v>26</v>
      </c>
      <c r="F722" t="s">
        <v>27</v>
      </c>
      <c r="G722" s="2">
        <v>45664</v>
      </c>
      <c r="H722" t="s">
        <v>19</v>
      </c>
      <c r="I722" s="3">
        <v>3700375</v>
      </c>
      <c r="J722">
        <v>627</v>
      </c>
      <c r="K722" t="s">
        <v>34</v>
      </c>
      <c r="L722" t="s">
        <v>30</v>
      </c>
      <c r="M722">
        <v>33</v>
      </c>
      <c r="N722" s="3">
        <v>3900.1</v>
      </c>
      <c r="O722" t="s">
        <v>22</v>
      </c>
    </row>
    <row r="723" spans="1:15" x14ac:dyDescent="0.2">
      <c r="A723" t="s">
        <v>1070</v>
      </c>
      <c r="B723" t="s">
        <v>478</v>
      </c>
      <c r="C723">
        <v>39</v>
      </c>
      <c r="D723" t="s">
        <v>16</v>
      </c>
      <c r="E723" t="s">
        <v>17</v>
      </c>
      <c r="F723" t="s">
        <v>18</v>
      </c>
      <c r="G723" s="2">
        <v>45660</v>
      </c>
      <c r="H723" t="s">
        <v>28</v>
      </c>
      <c r="I723" s="3">
        <v>427265</v>
      </c>
      <c r="J723">
        <v>758</v>
      </c>
      <c r="K723" t="s">
        <v>20</v>
      </c>
      <c r="L723" t="s">
        <v>58</v>
      </c>
      <c r="M723">
        <v>46</v>
      </c>
      <c r="N723" s="3">
        <v>5022.7700000000004</v>
      </c>
      <c r="O723" t="s">
        <v>22</v>
      </c>
    </row>
    <row r="724" spans="1:15" x14ac:dyDescent="0.2">
      <c r="A724" t="s">
        <v>1071</v>
      </c>
      <c r="B724" t="s">
        <v>104</v>
      </c>
      <c r="C724">
        <v>32</v>
      </c>
      <c r="D724" t="s">
        <v>105</v>
      </c>
      <c r="E724" t="s">
        <v>17</v>
      </c>
      <c r="F724" t="s">
        <v>27</v>
      </c>
      <c r="G724" s="2">
        <v>46020</v>
      </c>
      <c r="H724" t="s">
        <v>28</v>
      </c>
      <c r="I724" s="3">
        <v>3476585</v>
      </c>
      <c r="J724">
        <v>759</v>
      </c>
      <c r="K724" t="s">
        <v>92</v>
      </c>
      <c r="L724" t="s">
        <v>38</v>
      </c>
      <c r="M724">
        <v>81</v>
      </c>
      <c r="N724" s="3">
        <v>2996.14</v>
      </c>
      <c r="O724" t="s">
        <v>22</v>
      </c>
    </row>
    <row r="725" spans="1:15" x14ac:dyDescent="0.2">
      <c r="A725" t="s">
        <v>1072</v>
      </c>
      <c r="B725" t="s">
        <v>785</v>
      </c>
      <c r="C725">
        <v>57</v>
      </c>
      <c r="D725" t="s">
        <v>16</v>
      </c>
      <c r="E725" t="s">
        <v>26</v>
      </c>
      <c r="F725" t="s">
        <v>18</v>
      </c>
      <c r="G725" s="2">
        <v>46165</v>
      </c>
      <c r="H725" t="s">
        <v>28</v>
      </c>
      <c r="I725" s="3">
        <v>3778329</v>
      </c>
      <c r="J725">
        <v>678</v>
      </c>
      <c r="K725" t="s">
        <v>92</v>
      </c>
      <c r="L725" t="s">
        <v>45</v>
      </c>
      <c r="M725">
        <v>45</v>
      </c>
      <c r="N725" s="3">
        <v>4740.8</v>
      </c>
      <c r="O725" t="s">
        <v>22</v>
      </c>
    </row>
    <row r="726" spans="1:15" x14ac:dyDescent="0.2">
      <c r="A726" t="s">
        <v>1073</v>
      </c>
      <c r="B726" t="s">
        <v>156</v>
      </c>
      <c r="C726">
        <v>62</v>
      </c>
      <c r="D726" t="s">
        <v>75</v>
      </c>
      <c r="E726" t="s">
        <v>26</v>
      </c>
      <c r="F726" t="s">
        <v>27</v>
      </c>
      <c r="G726" s="2">
        <v>45931</v>
      </c>
      <c r="H726" t="s">
        <v>28</v>
      </c>
      <c r="I726" s="3">
        <v>3286773</v>
      </c>
      <c r="J726">
        <v>613</v>
      </c>
      <c r="K726" t="s">
        <v>29</v>
      </c>
      <c r="L726" t="s">
        <v>58</v>
      </c>
      <c r="M726">
        <v>19</v>
      </c>
      <c r="N726" s="3">
        <v>25722.36</v>
      </c>
      <c r="O726" t="s">
        <v>22</v>
      </c>
    </row>
    <row r="727" spans="1:15" x14ac:dyDescent="0.2">
      <c r="A727" t="s">
        <v>1074</v>
      </c>
      <c r="B727" t="s">
        <v>248</v>
      </c>
      <c r="C727">
        <v>37</v>
      </c>
      <c r="D727" t="s">
        <v>25</v>
      </c>
      <c r="E727" t="s">
        <v>26</v>
      </c>
      <c r="F727" t="s">
        <v>100</v>
      </c>
      <c r="G727" s="2">
        <v>46163</v>
      </c>
      <c r="H727" t="s">
        <v>28</v>
      </c>
      <c r="I727" s="3">
        <v>1940792</v>
      </c>
      <c r="J727">
        <v>649</v>
      </c>
      <c r="K727" t="s">
        <v>67</v>
      </c>
      <c r="L727" t="s">
        <v>38</v>
      </c>
      <c r="M727">
        <v>94</v>
      </c>
      <c r="N727" s="3">
        <v>69165.53</v>
      </c>
      <c r="O727" t="s">
        <v>39</v>
      </c>
    </row>
    <row r="728" spans="1:15" x14ac:dyDescent="0.2">
      <c r="A728" t="s">
        <v>1075</v>
      </c>
      <c r="B728" t="s">
        <v>911</v>
      </c>
      <c r="C728">
        <v>57</v>
      </c>
      <c r="D728" t="s">
        <v>25</v>
      </c>
      <c r="E728" t="s">
        <v>17</v>
      </c>
      <c r="F728" t="s">
        <v>27</v>
      </c>
      <c r="G728" s="2">
        <v>45672</v>
      </c>
      <c r="H728" t="s">
        <v>28</v>
      </c>
      <c r="I728" s="3">
        <v>1881570</v>
      </c>
      <c r="J728">
        <v>750</v>
      </c>
      <c r="K728" t="s">
        <v>34</v>
      </c>
      <c r="L728" t="s">
        <v>21</v>
      </c>
      <c r="M728">
        <v>87</v>
      </c>
      <c r="N728" s="3">
        <v>1769.38</v>
      </c>
      <c r="O728" t="s">
        <v>22</v>
      </c>
    </row>
    <row r="729" spans="1:15" x14ac:dyDescent="0.2">
      <c r="A729" t="s">
        <v>1076</v>
      </c>
      <c r="B729" t="s">
        <v>226</v>
      </c>
      <c r="C729">
        <v>68</v>
      </c>
      <c r="D729" t="s">
        <v>37</v>
      </c>
      <c r="E729" t="s">
        <v>17</v>
      </c>
      <c r="F729" t="s">
        <v>27</v>
      </c>
      <c r="G729" s="2">
        <v>45849</v>
      </c>
      <c r="H729" t="s">
        <v>28</v>
      </c>
      <c r="I729" s="3">
        <v>2225556</v>
      </c>
      <c r="J729">
        <v>638</v>
      </c>
      <c r="K729" t="s">
        <v>92</v>
      </c>
      <c r="L729" t="s">
        <v>30</v>
      </c>
      <c r="M729">
        <v>15</v>
      </c>
      <c r="N729" s="3">
        <v>3001.41</v>
      </c>
      <c r="O729" t="s">
        <v>22</v>
      </c>
    </row>
    <row r="730" spans="1:15" x14ac:dyDescent="0.2">
      <c r="A730" t="s">
        <v>1077</v>
      </c>
      <c r="B730" t="s">
        <v>785</v>
      </c>
      <c r="C730">
        <v>59</v>
      </c>
      <c r="D730" t="s">
        <v>42</v>
      </c>
      <c r="E730" t="s">
        <v>26</v>
      </c>
      <c r="F730" t="s">
        <v>18</v>
      </c>
      <c r="G730" s="2">
        <v>46142</v>
      </c>
      <c r="H730" t="s">
        <v>28</v>
      </c>
      <c r="I730" s="3">
        <v>3740678</v>
      </c>
      <c r="J730">
        <v>760</v>
      </c>
      <c r="K730" t="s">
        <v>86</v>
      </c>
      <c r="L730" t="s">
        <v>30</v>
      </c>
      <c r="M730">
        <v>78</v>
      </c>
      <c r="N730" s="3">
        <v>11206.37</v>
      </c>
      <c r="O730" t="s">
        <v>22</v>
      </c>
    </row>
    <row r="731" spans="1:15" x14ac:dyDescent="0.2">
      <c r="A731" t="s">
        <v>1078</v>
      </c>
      <c r="B731" t="s">
        <v>240</v>
      </c>
      <c r="C731">
        <v>48</v>
      </c>
      <c r="D731" t="s">
        <v>75</v>
      </c>
      <c r="E731" t="s">
        <v>17</v>
      </c>
      <c r="F731" t="s">
        <v>27</v>
      </c>
      <c r="G731" s="2">
        <v>45685</v>
      </c>
      <c r="H731" t="s">
        <v>52</v>
      </c>
      <c r="I731" s="3">
        <v>1910102</v>
      </c>
      <c r="J731">
        <v>598</v>
      </c>
      <c r="K731" t="s">
        <v>67</v>
      </c>
      <c r="L731" t="s">
        <v>38</v>
      </c>
      <c r="M731">
        <v>66</v>
      </c>
      <c r="N731" s="3">
        <v>1703.91</v>
      </c>
      <c r="O731" t="s">
        <v>22</v>
      </c>
    </row>
    <row r="732" spans="1:15" x14ac:dyDescent="0.2">
      <c r="A732" t="s">
        <v>1079</v>
      </c>
      <c r="B732" t="s">
        <v>109</v>
      </c>
      <c r="C732">
        <v>61</v>
      </c>
      <c r="D732" t="s">
        <v>55</v>
      </c>
      <c r="E732" t="s">
        <v>56</v>
      </c>
      <c r="F732" t="s">
        <v>43</v>
      </c>
      <c r="G732" s="2">
        <v>45696</v>
      </c>
      <c r="H732" t="s">
        <v>52</v>
      </c>
      <c r="I732" s="3">
        <v>2595170</v>
      </c>
      <c r="J732">
        <v>805</v>
      </c>
      <c r="K732" t="s">
        <v>57</v>
      </c>
      <c r="L732" t="s">
        <v>58</v>
      </c>
      <c r="M732">
        <v>39</v>
      </c>
      <c r="N732" s="3">
        <v>11514.97</v>
      </c>
      <c r="O732" t="s">
        <v>22</v>
      </c>
    </row>
    <row r="733" spans="1:15" x14ac:dyDescent="0.2">
      <c r="A733" t="s">
        <v>1080</v>
      </c>
      <c r="B733" t="s">
        <v>638</v>
      </c>
      <c r="C733">
        <v>55</v>
      </c>
      <c r="D733" t="s">
        <v>37</v>
      </c>
      <c r="E733" t="s">
        <v>26</v>
      </c>
      <c r="F733" t="s">
        <v>27</v>
      </c>
      <c r="G733" s="2">
        <v>45930</v>
      </c>
      <c r="H733" t="s">
        <v>28</v>
      </c>
      <c r="I733" s="3">
        <v>1761710</v>
      </c>
      <c r="J733">
        <v>674</v>
      </c>
      <c r="K733" t="s">
        <v>86</v>
      </c>
      <c r="L733" t="s">
        <v>45</v>
      </c>
      <c r="M733">
        <v>113</v>
      </c>
      <c r="N733" s="3">
        <v>15789.62</v>
      </c>
      <c r="O733" t="s">
        <v>22</v>
      </c>
    </row>
    <row r="734" spans="1:15" x14ac:dyDescent="0.2">
      <c r="A734" t="s">
        <v>1081</v>
      </c>
      <c r="B734" t="s">
        <v>496</v>
      </c>
      <c r="C734">
        <v>67</v>
      </c>
      <c r="D734" t="s">
        <v>55</v>
      </c>
      <c r="E734" t="s">
        <v>26</v>
      </c>
      <c r="F734" t="s">
        <v>18</v>
      </c>
      <c r="G734" s="2">
        <v>45888</v>
      </c>
      <c r="H734" t="s">
        <v>28</v>
      </c>
      <c r="I734" s="3">
        <v>2017091</v>
      </c>
      <c r="J734">
        <v>660</v>
      </c>
      <c r="K734" t="s">
        <v>78</v>
      </c>
      <c r="L734" t="s">
        <v>21</v>
      </c>
      <c r="M734">
        <v>18</v>
      </c>
      <c r="N734" s="3">
        <v>18688.900000000001</v>
      </c>
      <c r="O734" t="s">
        <v>22</v>
      </c>
    </row>
    <row r="735" spans="1:15" x14ac:dyDescent="0.2">
      <c r="A735" t="s">
        <v>1082</v>
      </c>
      <c r="B735" t="s">
        <v>822</v>
      </c>
      <c r="C735">
        <v>68</v>
      </c>
      <c r="D735" t="s">
        <v>42</v>
      </c>
      <c r="E735" t="s">
        <v>17</v>
      </c>
      <c r="F735" t="s">
        <v>27</v>
      </c>
      <c r="G735" s="2">
        <v>45743</v>
      </c>
      <c r="H735" t="s">
        <v>28</v>
      </c>
      <c r="I735" s="3">
        <v>1082230</v>
      </c>
      <c r="J735">
        <v>754</v>
      </c>
      <c r="K735" t="s">
        <v>92</v>
      </c>
      <c r="L735" t="s">
        <v>38</v>
      </c>
      <c r="M735">
        <v>70</v>
      </c>
      <c r="N735" s="3">
        <v>15332.83</v>
      </c>
      <c r="O735" t="s">
        <v>22</v>
      </c>
    </row>
    <row r="736" spans="1:15" x14ac:dyDescent="0.2">
      <c r="A736" t="s">
        <v>1083</v>
      </c>
      <c r="B736" t="s">
        <v>822</v>
      </c>
      <c r="C736">
        <v>38</v>
      </c>
      <c r="D736" t="s">
        <v>128</v>
      </c>
      <c r="E736" t="s">
        <v>26</v>
      </c>
      <c r="F736" t="s">
        <v>27</v>
      </c>
      <c r="G736" s="2">
        <v>46131</v>
      </c>
      <c r="H736" t="s">
        <v>28</v>
      </c>
      <c r="I736" s="3">
        <v>1066609</v>
      </c>
      <c r="J736">
        <v>801</v>
      </c>
      <c r="K736" t="s">
        <v>67</v>
      </c>
      <c r="L736" t="s">
        <v>21</v>
      </c>
      <c r="M736">
        <v>59</v>
      </c>
      <c r="N736" s="3">
        <v>5105.07</v>
      </c>
      <c r="O736" t="s">
        <v>22</v>
      </c>
    </row>
    <row r="737" spans="1:15" x14ac:dyDescent="0.2">
      <c r="A737" t="s">
        <v>1084</v>
      </c>
      <c r="B737" t="s">
        <v>205</v>
      </c>
      <c r="C737">
        <v>34</v>
      </c>
      <c r="D737" t="s">
        <v>16</v>
      </c>
      <c r="E737" t="s">
        <v>26</v>
      </c>
      <c r="F737" t="s">
        <v>27</v>
      </c>
      <c r="G737" s="2">
        <v>45783</v>
      </c>
      <c r="H737" t="s">
        <v>52</v>
      </c>
      <c r="I737" s="3">
        <v>3885192</v>
      </c>
      <c r="J737">
        <v>682</v>
      </c>
      <c r="K737" t="s">
        <v>92</v>
      </c>
      <c r="L737" t="s">
        <v>30</v>
      </c>
      <c r="M737">
        <v>32</v>
      </c>
      <c r="N737" s="3">
        <v>7400.09</v>
      </c>
      <c r="O737" t="s">
        <v>22</v>
      </c>
    </row>
    <row r="738" spans="1:15" x14ac:dyDescent="0.2">
      <c r="A738" t="s">
        <v>1085</v>
      </c>
      <c r="B738" t="s">
        <v>1047</v>
      </c>
      <c r="C738">
        <v>55</v>
      </c>
      <c r="D738" t="s">
        <v>16</v>
      </c>
      <c r="E738" t="s">
        <v>17</v>
      </c>
      <c r="F738" t="s">
        <v>27</v>
      </c>
      <c r="G738" s="2">
        <v>46194</v>
      </c>
      <c r="H738" t="s">
        <v>52</v>
      </c>
      <c r="I738" s="3">
        <v>4312316</v>
      </c>
      <c r="J738">
        <v>633</v>
      </c>
      <c r="K738" t="s">
        <v>29</v>
      </c>
      <c r="L738" t="s">
        <v>45</v>
      </c>
      <c r="M738">
        <v>21</v>
      </c>
      <c r="N738" s="3">
        <v>2595.4</v>
      </c>
      <c r="O738" t="s">
        <v>22</v>
      </c>
    </row>
    <row r="739" spans="1:15" x14ac:dyDescent="0.2">
      <c r="A739" t="s">
        <v>1086</v>
      </c>
      <c r="B739" t="s">
        <v>325</v>
      </c>
      <c r="C739">
        <v>64</v>
      </c>
      <c r="D739" t="s">
        <v>25</v>
      </c>
      <c r="E739" t="s">
        <v>56</v>
      </c>
      <c r="F739" t="s">
        <v>27</v>
      </c>
      <c r="G739" s="2">
        <v>45802</v>
      </c>
      <c r="H739" t="s">
        <v>28</v>
      </c>
      <c r="I739" s="3">
        <v>3438741</v>
      </c>
      <c r="J739">
        <v>762</v>
      </c>
      <c r="K739" t="s">
        <v>34</v>
      </c>
      <c r="L739" t="s">
        <v>21</v>
      </c>
      <c r="M739">
        <v>40</v>
      </c>
      <c r="N739" s="3">
        <v>14582.18</v>
      </c>
      <c r="O739" t="s">
        <v>22</v>
      </c>
    </row>
    <row r="740" spans="1:15" x14ac:dyDescent="0.2">
      <c r="A740" t="s">
        <v>1087</v>
      </c>
      <c r="B740" t="s">
        <v>127</v>
      </c>
      <c r="C740">
        <v>61</v>
      </c>
      <c r="D740" t="s">
        <v>55</v>
      </c>
      <c r="E740" t="s">
        <v>56</v>
      </c>
      <c r="F740" t="s">
        <v>27</v>
      </c>
      <c r="G740" s="2">
        <v>46182</v>
      </c>
      <c r="H740" t="s">
        <v>28</v>
      </c>
      <c r="I740" s="3">
        <v>4414133</v>
      </c>
      <c r="J740">
        <v>647</v>
      </c>
      <c r="K740" t="s">
        <v>57</v>
      </c>
      <c r="L740" t="s">
        <v>38</v>
      </c>
      <c r="M740">
        <v>92</v>
      </c>
      <c r="N740" s="3">
        <v>48219.96</v>
      </c>
      <c r="O740" t="s">
        <v>22</v>
      </c>
    </row>
    <row r="741" spans="1:15" x14ac:dyDescent="0.2">
      <c r="A741" t="s">
        <v>1088</v>
      </c>
      <c r="B741" t="s">
        <v>974</v>
      </c>
      <c r="C741">
        <v>27</v>
      </c>
      <c r="D741" t="s">
        <v>70</v>
      </c>
      <c r="E741" t="s">
        <v>17</v>
      </c>
      <c r="F741" t="s">
        <v>27</v>
      </c>
      <c r="G741" s="2">
        <v>45869</v>
      </c>
      <c r="H741" t="s">
        <v>28</v>
      </c>
      <c r="I741" s="3">
        <v>1905464</v>
      </c>
      <c r="J741">
        <v>607</v>
      </c>
      <c r="K741" t="s">
        <v>92</v>
      </c>
      <c r="L741" t="s">
        <v>45</v>
      </c>
      <c r="M741">
        <v>27</v>
      </c>
      <c r="N741" s="3">
        <v>14549.49</v>
      </c>
      <c r="O741" t="s">
        <v>22</v>
      </c>
    </row>
    <row r="742" spans="1:15" x14ac:dyDescent="0.2">
      <c r="A742" t="s">
        <v>1089</v>
      </c>
      <c r="B742" t="s">
        <v>1090</v>
      </c>
      <c r="C742">
        <v>61</v>
      </c>
      <c r="D742" t="s">
        <v>51</v>
      </c>
      <c r="E742" t="s">
        <v>56</v>
      </c>
      <c r="F742" t="s">
        <v>27</v>
      </c>
      <c r="G742" s="2">
        <v>45682</v>
      </c>
      <c r="H742" t="s">
        <v>33</v>
      </c>
      <c r="I742" s="3">
        <v>1656819</v>
      </c>
      <c r="J742">
        <v>698</v>
      </c>
      <c r="K742" t="s">
        <v>29</v>
      </c>
      <c r="L742" t="s">
        <v>58</v>
      </c>
      <c r="M742">
        <v>2</v>
      </c>
      <c r="N742" s="3">
        <v>4316.71</v>
      </c>
      <c r="O742" t="s">
        <v>22</v>
      </c>
    </row>
    <row r="743" spans="1:15" x14ac:dyDescent="0.2">
      <c r="A743" t="s">
        <v>1091</v>
      </c>
      <c r="B743" t="s">
        <v>375</v>
      </c>
      <c r="C743">
        <v>33</v>
      </c>
      <c r="D743" t="s">
        <v>105</v>
      </c>
      <c r="E743" t="s">
        <v>26</v>
      </c>
      <c r="F743" t="s">
        <v>43</v>
      </c>
      <c r="G743" s="2">
        <v>46237</v>
      </c>
      <c r="H743" t="s">
        <v>28</v>
      </c>
      <c r="I743" s="3">
        <v>1128835</v>
      </c>
      <c r="J743">
        <v>713</v>
      </c>
      <c r="K743" t="s">
        <v>29</v>
      </c>
      <c r="L743" t="s">
        <v>38</v>
      </c>
      <c r="M743">
        <v>97</v>
      </c>
      <c r="N743" s="3">
        <v>25451.54</v>
      </c>
      <c r="O743" t="s">
        <v>22</v>
      </c>
    </row>
    <row r="744" spans="1:15" x14ac:dyDescent="0.2">
      <c r="A744" t="s">
        <v>1092</v>
      </c>
      <c r="B744" t="s">
        <v>1093</v>
      </c>
      <c r="C744">
        <v>38</v>
      </c>
      <c r="D744" t="s">
        <v>105</v>
      </c>
      <c r="E744" t="s">
        <v>17</v>
      </c>
      <c r="F744" t="s">
        <v>100</v>
      </c>
      <c r="G744" s="2">
        <v>46051</v>
      </c>
      <c r="H744" t="s">
        <v>19</v>
      </c>
      <c r="I744" s="3">
        <v>873578</v>
      </c>
      <c r="J744">
        <v>708</v>
      </c>
      <c r="K744" t="s">
        <v>57</v>
      </c>
      <c r="L744" t="s">
        <v>21</v>
      </c>
      <c r="M744">
        <v>80</v>
      </c>
      <c r="N744" s="3">
        <v>107358.51</v>
      </c>
      <c r="O744" t="s">
        <v>39</v>
      </c>
    </row>
    <row r="745" spans="1:15" x14ac:dyDescent="0.2">
      <c r="A745" t="s">
        <v>1094</v>
      </c>
      <c r="B745" t="s">
        <v>362</v>
      </c>
      <c r="C745">
        <v>57</v>
      </c>
      <c r="D745" t="s">
        <v>105</v>
      </c>
      <c r="E745" t="s">
        <v>26</v>
      </c>
      <c r="F745" t="s">
        <v>27</v>
      </c>
      <c r="G745" s="2">
        <v>45724</v>
      </c>
      <c r="H745" t="s">
        <v>52</v>
      </c>
      <c r="I745" s="3">
        <v>3527560</v>
      </c>
      <c r="J745">
        <v>587</v>
      </c>
      <c r="K745" t="s">
        <v>86</v>
      </c>
      <c r="L745" t="s">
        <v>45</v>
      </c>
      <c r="M745">
        <v>39</v>
      </c>
      <c r="N745" s="3">
        <v>11560.01</v>
      </c>
      <c r="O745" t="s">
        <v>22</v>
      </c>
    </row>
    <row r="746" spans="1:15" x14ac:dyDescent="0.2">
      <c r="A746" t="s">
        <v>1095</v>
      </c>
      <c r="B746" t="s">
        <v>24</v>
      </c>
      <c r="C746">
        <v>33</v>
      </c>
      <c r="D746" t="s">
        <v>25</v>
      </c>
      <c r="E746" t="s">
        <v>26</v>
      </c>
      <c r="F746" t="s">
        <v>43</v>
      </c>
      <c r="G746" s="2">
        <v>45890</v>
      </c>
      <c r="H746" t="s">
        <v>28</v>
      </c>
      <c r="I746" s="3">
        <v>3419870</v>
      </c>
      <c r="J746">
        <v>630</v>
      </c>
      <c r="K746" t="s">
        <v>86</v>
      </c>
      <c r="L746" t="s">
        <v>38</v>
      </c>
      <c r="M746">
        <v>86</v>
      </c>
      <c r="N746" s="3">
        <v>16029.67</v>
      </c>
      <c r="O746" t="s">
        <v>335</v>
      </c>
    </row>
    <row r="747" spans="1:15" x14ac:dyDescent="0.2">
      <c r="A747" t="s">
        <v>1096</v>
      </c>
      <c r="B747" t="s">
        <v>205</v>
      </c>
      <c r="C747">
        <v>56</v>
      </c>
      <c r="D747" t="s">
        <v>75</v>
      </c>
      <c r="E747" t="s">
        <v>56</v>
      </c>
      <c r="F747" t="s">
        <v>18</v>
      </c>
      <c r="G747" s="2">
        <v>45766</v>
      </c>
      <c r="H747" t="s">
        <v>33</v>
      </c>
      <c r="I747" s="3">
        <v>2719485</v>
      </c>
      <c r="J747">
        <v>754</v>
      </c>
      <c r="K747" t="s">
        <v>86</v>
      </c>
      <c r="L747" t="s">
        <v>45</v>
      </c>
      <c r="M747">
        <v>56</v>
      </c>
      <c r="N747" s="3">
        <v>18243.900000000001</v>
      </c>
      <c r="O747" t="s">
        <v>22</v>
      </c>
    </row>
    <row r="748" spans="1:15" x14ac:dyDescent="0.2">
      <c r="A748" t="s">
        <v>1097</v>
      </c>
      <c r="B748" t="s">
        <v>390</v>
      </c>
      <c r="C748">
        <v>51</v>
      </c>
      <c r="D748" t="s">
        <v>70</v>
      </c>
      <c r="E748" t="s">
        <v>17</v>
      </c>
      <c r="F748" t="s">
        <v>27</v>
      </c>
      <c r="G748" s="2">
        <v>45803</v>
      </c>
      <c r="H748" t="s">
        <v>44</v>
      </c>
      <c r="I748" s="3">
        <v>3281946</v>
      </c>
      <c r="J748">
        <v>762</v>
      </c>
      <c r="K748" t="s">
        <v>20</v>
      </c>
      <c r="L748" t="s">
        <v>45</v>
      </c>
      <c r="M748">
        <v>107</v>
      </c>
      <c r="N748" s="3">
        <v>1661.24</v>
      </c>
      <c r="O748" t="s">
        <v>22</v>
      </c>
    </row>
    <row r="749" spans="1:15" x14ac:dyDescent="0.2">
      <c r="A749" t="s">
        <v>1098</v>
      </c>
      <c r="B749" t="s">
        <v>706</v>
      </c>
      <c r="C749">
        <v>22</v>
      </c>
      <c r="D749" t="s">
        <v>89</v>
      </c>
      <c r="E749" t="s">
        <v>26</v>
      </c>
      <c r="F749" t="s">
        <v>18</v>
      </c>
      <c r="G749" s="2">
        <v>45768</v>
      </c>
      <c r="H749" t="s">
        <v>33</v>
      </c>
      <c r="I749" s="3">
        <v>2629093</v>
      </c>
      <c r="J749">
        <v>771</v>
      </c>
      <c r="K749" t="s">
        <v>34</v>
      </c>
      <c r="L749" t="s">
        <v>45</v>
      </c>
      <c r="M749">
        <v>111</v>
      </c>
      <c r="N749" s="3">
        <v>5815.73</v>
      </c>
      <c r="O749" t="s">
        <v>22</v>
      </c>
    </row>
    <row r="750" spans="1:15" x14ac:dyDescent="0.2">
      <c r="A750" t="s">
        <v>1099</v>
      </c>
      <c r="B750" t="s">
        <v>394</v>
      </c>
      <c r="C750">
        <v>36</v>
      </c>
      <c r="D750" t="s">
        <v>55</v>
      </c>
      <c r="E750" t="s">
        <v>56</v>
      </c>
      <c r="F750" t="s">
        <v>27</v>
      </c>
      <c r="G750" s="2">
        <v>45885</v>
      </c>
      <c r="H750" t="s">
        <v>28</v>
      </c>
      <c r="I750" s="3">
        <v>3010451</v>
      </c>
      <c r="J750">
        <v>828</v>
      </c>
      <c r="K750" t="s">
        <v>67</v>
      </c>
      <c r="L750" t="s">
        <v>21</v>
      </c>
      <c r="M750">
        <v>13</v>
      </c>
      <c r="N750" s="3">
        <v>5220.9799999999996</v>
      </c>
      <c r="O750" t="s">
        <v>22</v>
      </c>
    </row>
    <row r="751" spans="1:15" x14ac:dyDescent="0.2">
      <c r="A751" t="s">
        <v>1100</v>
      </c>
      <c r="B751" t="s">
        <v>588</v>
      </c>
      <c r="C751">
        <v>29</v>
      </c>
      <c r="D751" t="s">
        <v>70</v>
      </c>
      <c r="E751" t="s">
        <v>26</v>
      </c>
      <c r="F751" t="s">
        <v>43</v>
      </c>
      <c r="G751" s="2">
        <v>45768</v>
      </c>
      <c r="H751" t="s">
        <v>28</v>
      </c>
      <c r="I751" s="3">
        <v>947389</v>
      </c>
      <c r="J751">
        <v>814</v>
      </c>
      <c r="K751" t="s">
        <v>34</v>
      </c>
      <c r="L751" t="s">
        <v>38</v>
      </c>
      <c r="M751">
        <v>56</v>
      </c>
      <c r="N751" s="3">
        <v>21517.24</v>
      </c>
      <c r="O751" t="s">
        <v>22</v>
      </c>
    </row>
    <row r="752" spans="1:15" x14ac:dyDescent="0.2">
      <c r="A752" t="s">
        <v>1101</v>
      </c>
      <c r="B752" t="s">
        <v>72</v>
      </c>
      <c r="C752">
        <v>29</v>
      </c>
      <c r="D752" t="s">
        <v>37</v>
      </c>
      <c r="E752" t="s">
        <v>26</v>
      </c>
      <c r="F752" t="s">
        <v>27</v>
      </c>
      <c r="G752" s="2">
        <v>46127</v>
      </c>
      <c r="H752" t="s">
        <v>44</v>
      </c>
      <c r="I752" s="3">
        <v>4016176</v>
      </c>
      <c r="J752">
        <v>662</v>
      </c>
      <c r="K752" t="s">
        <v>86</v>
      </c>
      <c r="L752" t="s">
        <v>30</v>
      </c>
      <c r="M752">
        <v>66</v>
      </c>
      <c r="N752" s="3">
        <v>19039.82</v>
      </c>
      <c r="O752" t="s">
        <v>22</v>
      </c>
    </row>
    <row r="753" spans="1:15" x14ac:dyDescent="0.2">
      <c r="A753" t="s">
        <v>1102</v>
      </c>
      <c r="B753" t="s">
        <v>983</v>
      </c>
      <c r="C753">
        <v>58</v>
      </c>
      <c r="D753" t="s">
        <v>55</v>
      </c>
      <c r="E753" t="s">
        <v>26</v>
      </c>
      <c r="F753" t="s">
        <v>18</v>
      </c>
      <c r="G753" s="2">
        <v>45691</v>
      </c>
      <c r="H753" t="s">
        <v>33</v>
      </c>
      <c r="I753" s="3">
        <v>4491244</v>
      </c>
      <c r="J753">
        <v>672</v>
      </c>
      <c r="K753" t="s">
        <v>57</v>
      </c>
      <c r="L753" t="s">
        <v>30</v>
      </c>
      <c r="M753">
        <v>78</v>
      </c>
      <c r="N753" s="3">
        <v>7889.01</v>
      </c>
      <c r="O753" t="s">
        <v>22</v>
      </c>
    </row>
    <row r="754" spans="1:15" x14ac:dyDescent="0.2">
      <c r="A754" t="s">
        <v>1103</v>
      </c>
      <c r="B754" t="s">
        <v>448</v>
      </c>
      <c r="C754">
        <v>31</v>
      </c>
      <c r="D754" t="s">
        <v>70</v>
      </c>
      <c r="E754" t="s">
        <v>56</v>
      </c>
      <c r="F754" t="s">
        <v>18</v>
      </c>
      <c r="G754" s="2">
        <v>46026</v>
      </c>
      <c r="H754" t="s">
        <v>33</v>
      </c>
      <c r="I754" s="3">
        <v>4423414</v>
      </c>
      <c r="J754">
        <v>847</v>
      </c>
      <c r="K754" t="s">
        <v>20</v>
      </c>
      <c r="L754" t="s">
        <v>21</v>
      </c>
      <c r="M754">
        <v>56</v>
      </c>
      <c r="N754" s="3">
        <v>4902.1400000000003</v>
      </c>
      <c r="O754" t="s">
        <v>22</v>
      </c>
    </row>
    <row r="755" spans="1:15" x14ac:dyDescent="0.2">
      <c r="A755" t="s">
        <v>1104</v>
      </c>
      <c r="B755" t="s">
        <v>362</v>
      </c>
      <c r="C755">
        <v>42</v>
      </c>
      <c r="D755" t="s">
        <v>51</v>
      </c>
      <c r="E755" t="s">
        <v>56</v>
      </c>
      <c r="F755" t="s">
        <v>27</v>
      </c>
      <c r="G755" s="2">
        <v>46252</v>
      </c>
      <c r="H755" t="s">
        <v>44</v>
      </c>
      <c r="I755" s="3">
        <v>4154840</v>
      </c>
      <c r="J755">
        <v>699</v>
      </c>
      <c r="K755" t="s">
        <v>34</v>
      </c>
      <c r="L755" t="s">
        <v>21</v>
      </c>
      <c r="M755">
        <v>102</v>
      </c>
      <c r="N755" s="3">
        <v>1523.97</v>
      </c>
      <c r="O755" t="s">
        <v>22</v>
      </c>
    </row>
    <row r="756" spans="1:15" x14ac:dyDescent="0.2">
      <c r="A756" t="s">
        <v>1105</v>
      </c>
      <c r="B756" t="s">
        <v>285</v>
      </c>
      <c r="C756">
        <v>53</v>
      </c>
      <c r="D756" t="s">
        <v>70</v>
      </c>
      <c r="E756" t="s">
        <v>26</v>
      </c>
      <c r="F756" t="s">
        <v>27</v>
      </c>
      <c r="G756" s="2">
        <v>46211</v>
      </c>
      <c r="H756" t="s">
        <v>44</v>
      </c>
      <c r="I756" s="3">
        <v>4070730</v>
      </c>
      <c r="J756">
        <v>650</v>
      </c>
      <c r="K756" t="s">
        <v>86</v>
      </c>
      <c r="L756" t="s">
        <v>45</v>
      </c>
      <c r="M756">
        <v>105</v>
      </c>
      <c r="N756" s="3">
        <v>8811.5300000000007</v>
      </c>
      <c r="O756" t="s">
        <v>22</v>
      </c>
    </row>
    <row r="757" spans="1:15" x14ac:dyDescent="0.2">
      <c r="A757" t="s">
        <v>1106</v>
      </c>
      <c r="B757" t="s">
        <v>82</v>
      </c>
      <c r="C757">
        <v>56</v>
      </c>
      <c r="D757" t="s">
        <v>70</v>
      </c>
      <c r="E757" t="s">
        <v>17</v>
      </c>
      <c r="F757" t="s">
        <v>100</v>
      </c>
      <c r="G757" s="2">
        <v>46082</v>
      </c>
      <c r="H757" t="s">
        <v>44</v>
      </c>
      <c r="I757" s="3">
        <v>3099310</v>
      </c>
      <c r="J757">
        <v>596</v>
      </c>
      <c r="K757" t="s">
        <v>20</v>
      </c>
      <c r="L757" t="s">
        <v>38</v>
      </c>
      <c r="M757">
        <v>28</v>
      </c>
      <c r="N757" s="3">
        <v>3286.91</v>
      </c>
      <c r="O757" t="s">
        <v>22</v>
      </c>
    </row>
    <row r="758" spans="1:15" x14ac:dyDescent="0.2">
      <c r="A758" t="s">
        <v>1107</v>
      </c>
      <c r="B758" t="s">
        <v>299</v>
      </c>
      <c r="C758">
        <v>65</v>
      </c>
      <c r="D758" t="s">
        <v>70</v>
      </c>
      <c r="E758" t="s">
        <v>26</v>
      </c>
      <c r="F758" t="s">
        <v>27</v>
      </c>
      <c r="G758" s="2">
        <v>46175</v>
      </c>
      <c r="H758" t="s">
        <v>28</v>
      </c>
      <c r="I758" s="3">
        <v>3098411</v>
      </c>
      <c r="J758">
        <v>832</v>
      </c>
      <c r="K758" t="s">
        <v>67</v>
      </c>
      <c r="L758" t="s">
        <v>38</v>
      </c>
      <c r="M758">
        <v>64</v>
      </c>
      <c r="N758" s="3">
        <v>2885.85</v>
      </c>
      <c r="O758" t="s">
        <v>22</v>
      </c>
    </row>
    <row r="759" spans="1:15" x14ac:dyDescent="0.2">
      <c r="A759" t="s">
        <v>1108</v>
      </c>
      <c r="B759" t="s">
        <v>638</v>
      </c>
      <c r="C759">
        <v>43</v>
      </c>
      <c r="D759" t="s">
        <v>16</v>
      </c>
      <c r="E759" t="s">
        <v>56</v>
      </c>
      <c r="F759" t="s">
        <v>43</v>
      </c>
      <c r="G759" s="2">
        <v>45939</v>
      </c>
      <c r="H759" t="s">
        <v>33</v>
      </c>
      <c r="I759" s="3">
        <v>3594443</v>
      </c>
      <c r="J759">
        <v>701</v>
      </c>
      <c r="K759" t="s">
        <v>57</v>
      </c>
      <c r="L759" t="s">
        <v>58</v>
      </c>
      <c r="M759">
        <v>71</v>
      </c>
      <c r="N759" s="3">
        <v>23684.639999999999</v>
      </c>
      <c r="O759" t="s">
        <v>39</v>
      </c>
    </row>
    <row r="760" spans="1:15" x14ac:dyDescent="0.2">
      <c r="A760" t="s">
        <v>1109</v>
      </c>
      <c r="B760" t="s">
        <v>311</v>
      </c>
      <c r="C760">
        <v>65</v>
      </c>
      <c r="D760" t="s">
        <v>128</v>
      </c>
      <c r="E760" t="s">
        <v>26</v>
      </c>
      <c r="F760" t="s">
        <v>100</v>
      </c>
      <c r="G760" s="2">
        <v>45977</v>
      </c>
      <c r="H760" t="s">
        <v>52</v>
      </c>
      <c r="I760" s="3">
        <v>1306504</v>
      </c>
      <c r="J760">
        <v>589</v>
      </c>
      <c r="K760" t="s">
        <v>86</v>
      </c>
      <c r="L760" t="s">
        <v>58</v>
      </c>
      <c r="M760">
        <v>82</v>
      </c>
      <c r="N760" s="3">
        <v>21226.71</v>
      </c>
      <c r="O760" t="s">
        <v>22</v>
      </c>
    </row>
    <row r="761" spans="1:15" x14ac:dyDescent="0.2">
      <c r="A761" t="s">
        <v>1110</v>
      </c>
      <c r="B761" t="s">
        <v>780</v>
      </c>
      <c r="C761">
        <v>65</v>
      </c>
      <c r="D761" t="s">
        <v>42</v>
      </c>
      <c r="E761" t="s">
        <v>26</v>
      </c>
      <c r="F761" t="s">
        <v>18</v>
      </c>
      <c r="G761" s="2">
        <v>46100</v>
      </c>
      <c r="H761" t="s">
        <v>52</v>
      </c>
      <c r="I761" s="3">
        <v>2694149</v>
      </c>
      <c r="J761">
        <v>789</v>
      </c>
      <c r="K761" t="s">
        <v>67</v>
      </c>
      <c r="L761" t="s">
        <v>30</v>
      </c>
      <c r="M761">
        <v>64</v>
      </c>
      <c r="N761" s="3">
        <v>5361.38</v>
      </c>
      <c r="O761" t="s">
        <v>22</v>
      </c>
    </row>
    <row r="762" spans="1:15" x14ac:dyDescent="0.2">
      <c r="A762" t="s">
        <v>1111</v>
      </c>
      <c r="B762" t="s">
        <v>780</v>
      </c>
      <c r="C762">
        <v>54</v>
      </c>
      <c r="D762" t="s">
        <v>37</v>
      </c>
      <c r="E762" t="s">
        <v>83</v>
      </c>
      <c r="F762" t="s">
        <v>43</v>
      </c>
      <c r="G762" s="2">
        <v>45972</v>
      </c>
      <c r="H762" t="s">
        <v>33</v>
      </c>
      <c r="I762" s="3">
        <v>2464669</v>
      </c>
      <c r="J762">
        <v>797</v>
      </c>
      <c r="K762" t="s">
        <v>78</v>
      </c>
      <c r="L762" t="s">
        <v>58</v>
      </c>
      <c r="M762">
        <v>56</v>
      </c>
      <c r="N762" s="3">
        <v>1724.17</v>
      </c>
      <c r="O762" t="s">
        <v>22</v>
      </c>
    </row>
    <row r="763" spans="1:15" x14ac:dyDescent="0.2">
      <c r="A763" t="s">
        <v>1112</v>
      </c>
      <c r="B763" t="s">
        <v>1113</v>
      </c>
      <c r="C763">
        <v>29</v>
      </c>
      <c r="D763" t="s">
        <v>37</v>
      </c>
      <c r="E763" t="s">
        <v>26</v>
      </c>
      <c r="F763" t="s">
        <v>18</v>
      </c>
      <c r="G763" s="2">
        <v>46034</v>
      </c>
      <c r="H763" t="s">
        <v>28</v>
      </c>
      <c r="I763" s="3">
        <v>2204702</v>
      </c>
      <c r="J763">
        <v>820</v>
      </c>
      <c r="K763" t="s">
        <v>67</v>
      </c>
      <c r="L763" t="s">
        <v>58</v>
      </c>
      <c r="M763">
        <v>41</v>
      </c>
      <c r="N763" s="3">
        <v>3762.72</v>
      </c>
      <c r="O763" t="s">
        <v>22</v>
      </c>
    </row>
    <row r="764" spans="1:15" x14ac:dyDescent="0.2">
      <c r="A764" t="s">
        <v>1114</v>
      </c>
      <c r="B764" t="s">
        <v>983</v>
      </c>
      <c r="C764">
        <v>44</v>
      </c>
      <c r="D764" t="s">
        <v>16</v>
      </c>
      <c r="E764" t="s">
        <v>26</v>
      </c>
      <c r="F764" t="s">
        <v>18</v>
      </c>
      <c r="G764" s="2">
        <v>45946</v>
      </c>
      <c r="H764" t="s">
        <v>52</v>
      </c>
      <c r="I764" s="3">
        <v>1349469</v>
      </c>
      <c r="J764">
        <v>779</v>
      </c>
      <c r="K764" t="s">
        <v>92</v>
      </c>
      <c r="L764" t="s">
        <v>30</v>
      </c>
      <c r="M764">
        <v>119</v>
      </c>
      <c r="N764" s="3">
        <v>25410.47</v>
      </c>
      <c r="O764" t="s">
        <v>22</v>
      </c>
    </row>
    <row r="765" spans="1:15" x14ac:dyDescent="0.2">
      <c r="A765" t="s">
        <v>1115</v>
      </c>
      <c r="B765" t="s">
        <v>177</v>
      </c>
      <c r="C765">
        <v>28</v>
      </c>
      <c r="D765" t="s">
        <v>75</v>
      </c>
      <c r="E765" t="s">
        <v>17</v>
      </c>
      <c r="F765" t="s">
        <v>27</v>
      </c>
      <c r="G765" s="2">
        <v>46094</v>
      </c>
      <c r="H765" t="s">
        <v>52</v>
      </c>
      <c r="I765" s="3">
        <v>4394111</v>
      </c>
      <c r="J765">
        <v>795</v>
      </c>
      <c r="K765" t="s">
        <v>57</v>
      </c>
      <c r="L765" t="s">
        <v>30</v>
      </c>
      <c r="M765">
        <v>100</v>
      </c>
      <c r="N765" s="3">
        <v>14634.02</v>
      </c>
      <c r="O765" t="s">
        <v>39</v>
      </c>
    </row>
    <row r="766" spans="1:15" x14ac:dyDescent="0.2">
      <c r="A766" t="s">
        <v>1116</v>
      </c>
      <c r="B766" t="s">
        <v>1117</v>
      </c>
      <c r="C766">
        <v>27</v>
      </c>
      <c r="D766" t="s">
        <v>42</v>
      </c>
      <c r="E766" t="s">
        <v>83</v>
      </c>
      <c r="F766" t="s">
        <v>27</v>
      </c>
      <c r="G766" s="2">
        <v>45934</v>
      </c>
      <c r="H766" t="s">
        <v>28</v>
      </c>
      <c r="I766" s="3">
        <v>2910038</v>
      </c>
      <c r="J766">
        <v>784</v>
      </c>
      <c r="K766" t="s">
        <v>67</v>
      </c>
      <c r="L766" t="s">
        <v>58</v>
      </c>
      <c r="M766">
        <v>41</v>
      </c>
      <c r="N766" s="3">
        <v>5456.73</v>
      </c>
      <c r="O766" t="s">
        <v>22</v>
      </c>
    </row>
    <row r="767" spans="1:15" x14ac:dyDescent="0.2">
      <c r="A767" t="s">
        <v>1118</v>
      </c>
      <c r="B767" t="s">
        <v>138</v>
      </c>
      <c r="C767">
        <v>56</v>
      </c>
      <c r="D767" t="s">
        <v>55</v>
      </c>
      <c r="E767" t="s">
        <v>26</v>
      </c>
      <c r="F767" t="s">
        <v>27</v>
      </c>
      <c r="G767" s="2">
        <v>46239</v>
      </c>
      <c r="H767" t="s">
        <v>28</v>
      </c>
      <c r="I767" s="3">
        <v>1437171</v>
      </c>
      <c r="J767">
        <v>795</v>
      </c>
      <c r="K767" t="s">
        <v>67</v>
      </c>
      <c r="L767" t="s">
        <v>38</v>
      </c>
      <c r="M767">
        <v>100</v>
      </c>
      <c r="N767" s="3">
        <v>9525.15</v>
      </c>
      <c r="O767" t="s">
        <v>22</v>
      </c>
    </row>
    <row r="768" spans="1:15" x14ac:dyDescent="0.2">
      <c r="A768" t="s">
        <v>1119</v>
      </c>
      <c r="B768" t="s">
        <v>481</v>
      </c>
      <c r="C768">
        <v>38</v>
      </c>
      <c r="D768" t="s">
        <v>75</v>
      </c>
      <c r="E768" t="s">
        <v>26</v>
      </c>
      <c r="F768" t="s">
        <v>100</v>
      </c>
      <c r="G768" s="2">
        <v>46160</v>
      </c>
      <c r="H768" t="s">
        <v>28</v>
      </c>
      <c r="I768" s="3">
        <v>3183361</v>
      </c>
      <c r="J768">
        <v>659</v>
      </c>
      <c r="K768" t="s">
        <v>29</v>
      </c>
      <c r="L768" t="s">
        <v>58</v>
      </c>
      <c r="M768">
        <v>108</v>
      </c>
      <c r="N768" s="3">
        <v>1013.78</v>
      </c>
      <c r="O768" t="s">
        <v>22</v>
      </c>
    </row>
    <row r="769" spans="1:15" x14ac:dyDescent="0.2">
      <c r="A769" t="s">
        <v>1120</v>
      </c>
      <c r="B769" t="s">
        <v>979</v>
      </c>
      <c r="C769">
        <v>23</v>
      </c>
      <c r="D769" t="s">
        <v>42</v>
      </c>
      <c r="E769" t="s">
        <v>26</v>
      </c>
      <c r="F769" t="s">
        <v>18</v>
      </c>
      <c r="G769" s="2">
        <v>46173</v>
      </c>
      <c r="H769" t="s">
        <v>28</v>
      </c>
      <c r="I769" s="3">
        <v>671655</v>
      </c>
      <c r="J769">
        <v>846</v>
      </c>
      <c r="K769" t="s">
        <v>29</v>
      </c>
      <c r="L769" t="s">
        <v>45</v>
      </c>
      <c r="M769">
        <v>4</v>
      </c>
      <c r="N769" s="3">
        <v>936.31</v>
      </c>
      <c r="O769" t="s">
        <v>22</v>
      </c>
    </row>
    <row r="770" spans="1:15" x14ac:dyDescent="0.2">
      <c r="A770" t="s">
        <v>1121</v>
      </c>
      <c r="B770" t="s">
        <v>259</v>
      </c>
      <c r="C770">
        <v>48</v>
      </c>
      <c r="D770" t="s">
        <v>51</v>
      </c>
      <c r="E770" t="s">
        <v>26</v>
      </c>
      <c r="F770" t="s">
        <v>27</v>
      </c>
      <c r="G770" s="2">
        <v>46007</v>
      </c>
      <c r="H770" t="s">
        <v>28</v>
      </c>
      <c r="I770" s="3">
        <v>1049717</v>
      </c>
      <c r="J770">
        <v>614</v>
      </c>
      <c r="K770" t="s">
        <v>67</v>
      </c>
      <c r="L770" t="s">
        <v>45</v>
      </c>
      <c r="M770">
        <v>57</v>
      </c>
      <c r="N770" s="3">
        <v>71394.98</v>
      </c>
      <c r="O770" t="s">
        <v>335</v>
      </c>
    </row>
    <row r="771" spans="1:15" x14ac:dyDescent="0.2">
      <c r="A771" t="s">
        <v>1122</v>
      </c>
      <c r="B771" t="s">
        <v>862</v>
      </c>
      <c r="C771">
        <v>26</v>
      </c>
      <c r="D771" t="s">
        <v>51</v>
      </c>
      <c r="E771" t="s">
        <v>26</v>
      </c>
      <c r="F771" t="s">
        <v>18</v>
      </c>
      <c r="G771" s="2">
        <v>46103</v>
      </c>
      <c r="H771" t="s">
        <v>28</v>
      </c>
      <c r="I771" s="3">
        <v>2732266</v>
      </c>
      <c r="J771">
        <v>597</v>
      </c>
      <c r="K771" t="s">
        <v>67</v>
      </c>
      <c r="L771" t="s">
        <v>45</v>
      </c>
      <c r="M771">
        <v>30</v>
      </c>
      <c r="N771" s="3">
        <v>15242.65</v>
      </c>
      <c r="O771" t="s">
        <v>22</v>
      </c>
    </row>
    <row r="772" spans="1:15" x14ac:dyDescent="0.2">
      <c r="A772" t="s">
        <v>1123</v>
      </c>
      <c r="B772" t="s">
        <v>161</v>
      </c>
      <c r="C772">
        <v>64</v>
      </c>
      <c r="D772" t="s">
        <v>48</v>
      </c>
      <c r="E772" t="s">
        <v>17</v>
      </c>
      <c r="F772" t="s">
        <v>43</v>
      </c>
      <c r="G772" s="2">
        <v>46007</v>
      </c>
      <c r="H772" t="s">
        <v>33</v>
      </c>
      <c r="I772" s="3">
        <v>1171806</v>
      </c>
      <c r="J772">
        <v>744</v>
      </c>
      <c r="K772" t="s">
        <v>57</v>
      </c>
      <c r="L772" t="s">
        <v>21</v>
      </c>
      <c r="M772">
        <v>88</v>
      </c>
      <c r="N772" s="3">
        <v>8970.93</v>
      </c>
      <c r="O772" t="s">
        <v>22</v>
      </c>
    </row>
    <row r="773" spans="1:15" x14ac:dyDescent="0.2">
      <c r="A773" t="s">
        <v>1124</v>
      </c>
      <c r="B773" t="s">
        <v>431</v>
      </c>
      <c r="C773">
        <v>64</v>
      </c>
      <c r="D773" t="s">
        <v>89</v>
      </c>
      <c r="E773" t="s">
        <v>83</v>
      </c>
      <c r="F773" t="s">
        <v>27</v>
      </c>
      <c r="G773" s="2">
        <v>46264</v>
      </c>
      <c r="H773" t="s">
        <v>33</v>
      </c>
      <c r="I773" s="3">
        <v>3657129</v>
      </c>
      <c r="J773">
        <v>592</v>
      </c>
      <c r="K773" t="s">
        <v>29</v>
      </c>
      <c r="L773" t="s">
        <v>45</v>
      </c>
      <c r="M773">
        <v>84</v>
      </c>
      <c r="N773" s="3">
        <v>5902.88</v>
      </c>
      <c r="O773" t="s">
        <v>22</v>
      </c>
    </row>
    <row r="774" spans="1:15" x14ac:dyDescent="0.2">
      <c r="A774" t="s">
        <v>1125</v>
      </c>
      <c r="B774" t="s">
        <v>672</v>
      </c>
      <c r="C774">
        <v>41</v>
      </c>
      <c r="D774" t="s">
        <v>51</v>
      </c>
      <c r="E774" t="s">
        <v>26</v>
      </c>
      <c r="F774" t="s">
        <v>43</v>
      </c>
      <c r="G774" s="2">
        <v>45794</v>
      </c>
      <c r="H774" t="s">
        <v>33</v>
      </c>
      <c r="I774" s="3">
        <v>1041043</v>
      </c>
      <c r="J774">
        <v>781</v>
      </c>
      <c r="K774" t="s">
        <v>34</v>
      </c>
      <c r="L774" t="s">
        <v>38</v>
      </c>
      <c r="M774">
        <v>46</v>
      </c>
      <c r="N774" s="3">
        <v>1408.21</v>
      </c>
      <c r="O774" t="s">
        <v>22</v>
      </c>
    </row>
    <row r="775" spans="1:15" x14ac:dyDescent="0.2">
      <c r="A775" t="s">
        <v>1126</v>
      </c>
      <c r="B775" t="s">
        <v>598</v>
      </c>
      <c r="C775">
        <v>48</v>
      </c>
      <c r="D775" t="s">
        <v>55</v>
      </c>
      <c r="E775" t="s">
        <v>26</v>
      </c>
      <c r="F775" t="s">
        <v>27</v>
      </c>
      <c r="G775" s="2">
        <v>45900</v>
      </c>
      <c r="H775" t="s">
        <v>44</v>
      </c>
      <c r="I775" s="3">
        <v>3551112</v>
      </c>
      <c r="J775">
        <v>808</v>
      </c>
      <c r="K775" t="s">
        <v>57</v>
      </c>
      <c r="L775" t="s">
        <v>21</v>
      </c>
      <c r="M775">
        <v>56</v>
      </c>
      <c r="N775" s="3">
        <v>25409.41</v>
      </c>
      <c r="O775" t="s">
        <v>22</v>
      </c>
    </row>
    <row r="776" spans="1:15" x14ac:dyDescent="0.2">
      <c r="A776" t="s">
        <v>1127</v>
      </c>
      <c r="B776" t="s">
        <v>607</v>
      </c>
      <c r="C776">
        <v>60</v>
      </c>
      <c r="D776" t="s">
        <v>128</v>
      </c>
      <c r="E776" t="s">
        <v>26</v>
      </c>
      <c r="F776" t="s">
        <v>18</v>
      </c>
      <c r="G776" s="2">
        <v>46200</v>
      </c>
      <c r="H776" t="s">
        <v>28</v>
      </c>
      <c r="I776" s="3">
        <v>1443728</v>
      </c>
      <c r="J776">
        <v>580</v>
      </c>
      <c r="K776" t="s">
        <v>78</v>
      </c>
      <c r="L776" t="s">
        <v>21</v>
      </c>
      <c r="M776">
        <v>31</v>
      </c>
      <c r="N776" s="3">
        <v>2714.24</v>
      </c>
      <c r="O776" t="s">
        <v>22</v>
      </c>
    </row>
    <row r="777" spans="1:15" x14ac:dyDescent="0.2">
      <c r="A777" t="s">
        <v>1128</v>
      </c>
      <c r="B777" t="s">
        <v>624</v>
      </c>
      <c r="C777">
        <v>21</v>
      </c>
      <c r="D777" t="s">
        <v>105</v>
      </c>
      <c r="E777" t="s">
        <v>26</v>
      </c>
      <c r="F777" t="s">
        <v>27</v>
      </c>
      <c r="G777" s="2">
        <v>45697</v>
      </c>
      <c r="H777" t="s">
        <v>28</v>
      </c>
      <c r="I777" s="3">
        <v>1754329</v>
      </c>
      <c r="J777">
        <v>796</v>
      </c>
      <c r="K777" t="s">
        <v>57</v>
      </c>
      <c r="L777" t="s">
        <v>45</v>
      </c>
      <c r="M777">
        <v>88</v>
      </c>
      <c r="N777" s="3">
        <v>18758.3</v>
      </c>
      <c r="O777" t="s">
        <v>22</v>
      </c>
    </row>
    <row r="778" spans="1:15" x14ac:dyDescent="0.2">
      <c r="A778" t="s">
        <v>1129</v>
      </c>
      <c r="B778" t="s">
        <v>369</v>
      </c>
      <c r="C778">
        <v>56</v>
      </c>
      <c r="D778" t="s">
        <v>48</v>
      </c>
      <c r="E778" t="s">
        <v>56</v>
      </c>
      <c r="F778" t="s">
        <v>18</v>
      </c>
      <c r="G778" s="2">
        <v>45886</v>
      </c>
      <c r="H778" t="s">
        <v>44</v>
      </c>
      <c r="I778" s="3">
        <v>2027850</v>
      </c>
      <c r="J778">
        <v>613</v>
      </c>
      <c r="K778" t="s">
        <v>86</v>
      </c>
      <c r="L778" t="s">
        <v>58</v>
      </c>
      <c r="M778">
        <v>7</v>
      </c>
      <c r="N778" s="3">
        <v>10286.64</v>
      </c>
      <c r="O778" t="s">
        <v>22</v>
      </c>
    </row>
    <row r="779" spans="1:15" x14ac:dyDescent="0.2">
      <c r="A779" t="s">
        <v>1130</v>
      </c>
      <c r="B779" t="s">
        <v>791</v>
      </c>
      <c r="C779">
        <v>41</v>
      </c>
      <c r="D779" t="s">
        <v>105</v>
      </c>
      <c r="E779" t="s">
        <v>26</v>
      </c>
      <c r="F779" t="s">
        <v>43</v>
      </c>
      <c r="G779" s="2">
        <v>46205</v>
      </c>
      <c r="H779" t="s">
        <v>28</v>
      </c>
      <c r="I779" s="3">
        <v>785888</v>
      </c>
      <c r="J779">
        <v>845</v>
      </c>
      <c r="K779" t="s">
        <v>86</v>
      </c>
      <c r="L779" t="s">
        <v>30</v>
      </c>
      <c r="M779">
        <v>90</v>
      </c>
      <c r="N779" s="3">
        <v>8478.6</v>
      </c>
      <c r="O779" t="s">
        <v>22</v>
      </c>
    </row>
    <row r="780" spans="1:15" x14ac:dyDescent="0.2">
      <c r="A780" t="s">
        <v>1131</v>
      </c>
      <c r="B780" t="s">
        <v>1065</v>
      </c>
      <c r="C780">
        <v>63</v>
      </c>
      <c r="D780" t="s">
        <v>37</v>
      </c>
      <c r="E780" t="s">
        <v>26</v>
      </c>
      <c r="F780" t="s">
        <v>27</v>
      </c>
      <c r="G780" s="2">
        <v>45880</v>
      </c>
      <c r="H780" t="s">
        <v>19</v>
      </c>
      <c r="I780" s="3">
        <v>4168446</v>
      </c>
      <c r="J780">
        <v>707</v>
      </c>
      <c r="K780" t="s">
        <v>20</v>
      </c>
      <c r="L780" t="s">
        <v>58</v>
      </c>
      <c r="M780">
        <v>77</v>
      </c>
      <c r="N780" s="3">
        <v>2281.33</v>
      </c>
      <c r="O780" t="s">
        <v>22</v>
      </c>
    </row>
    <row r="781" spans="1:15" x14ac:dyDescent="0.2">
      <c r="A781" t="s">
        <v>1132</v>
      </c>
      <c r="B781" t="s">
        <v>230</v>
      </c>
      <c r="C781">
        <v>55</v>
      </c>
      <c r="D781" t="s">
        <v>70</v>
      </c>
      <c r="E781" t="s">
        <v>17</v>
      </c>
      <c r="F781" t="s">
        <v>100</v>
      </c>
      <c r="G781" s="2">
        <v>45663</v>
      </c>
      <c r="H781" t="s">
        <v>44</v>
      </c>
      <c r="I781" s="3">
        <v>2818921</v>
      </c>
      <c r="J781">
        <v>791</v>
      </c>
      <c r="K781" t="s">
        <v>29</v>
      </c>
      <c r="L781" t="s">
        <v>58</v>
      </c>
      <c r="M781">
        <v>54</v>
      </c>
      <c r="N781" s="3">
        <v>2313.46</v>
      </c>
      <c r="O781" t="s">
        <v>335</v>
      </c>
    </row>
    <row r="782" spans="1:15" x14ac:dyDescent="0.2">
      <c r="A782" t="s">
        <v>1133</v>
      </c>
      <c r="B782" t="s">
        <v>54</v>
      </c>
      <c r="C782">
        <v>33</v>
      </c>
      <c r="D782" t="s">
        <v>89</v>
      </c>
      <c r="E782" t="s">
        <v>26</v>
      </c>
      <c r="F782" t="s">
        <v>43</v>
      </c>
      <c r="G782" s="2">
        <v>45979</v>
      </c>
      <c r="H782" t="s">
        <v>28</v>
      </c>
      <c r="I782" s="3">
        <v>2452888</v>
      </c>
      <c r="J782">
        <v>842</v>
      </c>
      <c r="K782" t="s">
        <v>67</v>
      </c>
      <c r="L782" t="s">
        <v>21</v>
      </c>
      <c r="M782">
        <v>8</v>
      </c>
      <c r="N782" s="3">
        <v>13486.32</v>
      </c>
      <c r="O782" t="s">
        <v>22</v>
      </c>
    </row>
    <row r="783" spans="1:15" x14ac:dyDescent="0.2">
      <c r="A783" t="s">
        <v>1134</v>
      </c>
      <c r="B783" t="s">
        <v>505</v>
      </c>
      <c r="C783">
        <v>69</v>
      </c>
      <c r="D783" t="s">
        <v>37</v>
      </c>
      <c r="E783" t="s">
        <v>17</v>
      </c>
      <c r="F783" t="s">
        <v>27</v>
      </c>
      <c r="G783" s="2">
        <v>46125</v>
      </c>
      <c r="H783" t="s">
        <v>19</v>
      </c>
      <c r="I783" s="3">
        <v>2109722</v>
      </c>
      <c r="J783">
        <v>659</v>
      </c>
      <c r="K783" t="s">
        <v>92</v>
      </c>
      <c r="L783" t="s">
        <v>21</v>
      </c>
      <c r="M783">
        <v>55</v>
      </c>
      <c r="N783" s="3">
        <v>9732.0300000000007</v>
      </c>
      <c r="O783" t="s">
        <v>22</v>
      </c>
    </row>
    <row r="784" spans="1:15" x14ac:dyDescent="0.2">
      <c r="A784" t="s">
        <v>1135</v>
      </c>
      <c r="B784" t="s">
        <v>884</v>
      </c>
      <c r="C784">
        <v>30</v>
      </c>
      <c r="D784" t="s">
        <v>42</v>
      </c>
      <c r="E784" t="s">
        <v>26</v>
      </c>
      <c r="F784" t="s">
        <v>27</v>
      </c>
      <c r="G784" s="2">
        <v>45732</v>
      </c>
      <c r="H784" t="s">
        <v>28</v>
      </c>
      <c r="I784" s="3">
        <v>4374741</v>
      </c>
      <c r="J784">
        <v>744</v>
      </c>
      <c r="K784" t="s">
        <v>29</v>
      </c>
      <c r="L784" t="s">
        <v>21</v>
      </c>
      <c r="M784">
        <v>69</v>
      </c>
      <c r="N784" s="3">
        <v>9409.9699999999993</v>
      </c>
      <c r="O784" t="s">
        <v>22</v>
      </c>
    </row>
    <row r="785" spans="1:15" x14ac:dyDescent="0.2">
      <c r="A785" t="s">
        <v>1136</v>
      </c>
      <c r="B785" t="s">
        <v>1137</v>
      </c>
      <c r="C785">
        <v>64</v>
      </c>
      <c r="D785" t="s">
        <v>37</v>
      </c>
      <c r="E785" t="s">
        <v>56</v>
      </c>
      <c r="F785" t="s">
        <v>18</v>
      </c>
      <c r="G785" s="2">
        <v>45661</v>
      </c>
      <c r="H785" t="s">
        <v>28</v>
      </c>
      <c r="I785" s="3">
        <v>2802192</v>
      </c>
      <c r="J785">
        <v>831</v>
      </c>
      <c r="K785" t="s">
        <v>34</v>
      </c>
      <c r="L785" t="s">
        <v>38</v>
      </c>
      <c r="M785">
        <v>44</v>
      </c>
      <c r="N785" s="3">
        <v>12092.54</v>
      </c>
      <c r="O785" t="s">
        <v>39</v>
      </c>
    </row>
    <row r="786" spans="1:15" x14ac:dyDescent="0.2">
      <c r="A786" t="s">
        <v>1138</v>
      </c>
      <c r="B786" t="s">
        <v>1139</v>
      </c>
      <c r="C786">
        <v>67</v>
      </c>
      <c r="D786" t="s">
        <v>25</v>
      </c>
      <c r="E786" t="s">
        <v>83</v>
      </c>
      <c r="F786" t="s">
        <v>27</v>
      </c>
      <c r="G786" s="2">
        <v>45775</v>
      </c>
      <c r="H786" t="s">
        <v>33</v>
      </c>
      <c r="I786" s="3">
        <v>385797</v>
      </c>
      <c r="J786">
        <v>591</v>
      </c>
      <c r="K786" t="s">
        <v>57</v>
      </c>
      <c r="L786" t="s">
        <v>38</v>
      </c>
      <c r="M786">
        <v>13</v>
      </c>
      <c r="N786" s="3">
        <v>1171.94</v>
      </c>
      <c r="O786" t="s">
        <v>22</v>
      </c>
    </row>
    <row r="787" spans="1:15" x14ac:dyDescent="0.2">
      <c r="A787" t="s">
        <v>1140</v>
      </c>
      <c r="B787" t="s">
        <v>1117</v>
      </c>
      <c r="C787">
        <v>30</v>
      </c>
      <c r="D787" t="s">
        <v>51</v>
      </c>
      <c r="E787" t="s">
        <v>17</v>
      </c>
      <c r="F787" t="s">
        <v>27</v>
      </c>
      <c r="G787" s="2">
        <v>46263</v>
      </c>
      <c r="H787" t="s">
        <v>28</v>
      </c>
      <c r="I787" s="3">
        <v>2783573</v>
      </c>
      <c r="J787">
        <v>791</v>
      </c>
      <c r="K787" t="s">
        <v>92</v>
      </c>
      <c r="L787" t="s">
        <v>30</v>
      </c>
      <c r="M787">
        <v>93</v>
      </c>
      <c r="N787" s="3">
        <v>26001.279999999999</v>
      </c>
      <c r="O787" t="s">
        <v>22</v>
      </c>
    </row>
    <row r="788" spans="1:15" x14ac:dyDescent="0.2">
      <c r="A788" t="s">
        <v>1141</v>
      </c>
      <c r="B788" t="s">
        <v>1142</v>
      </c>
      <c r="C788">
        <v>66</v>
      </c>
      <c r="D788" t="s">
        <v>128</v>
      </c>
      <c r="E788" t="s">
        <v>83</v>
      </c>
      <c r="F788" t="s">
        <v>27</v>
      </c>
      <c r="G788" s="2">
        <v>46161</v>
      </c>
      <c r="H788" t="s">
        <v>44</v>
      </c>
      <c r="I788" s="3">
        <v>1974620</v>
      </c>
      <c r="J788">
        <v>691</v>
      </c>
      <c r="K788" t="s">
        <v>92</v>
      </c>
      <c r="L788" t="s">
        <v>21</v>
      </c>
      <c r="M788">
        <v>20</v>
      </c>
      <c r="N788" s="3">
        <v>6162.92</v>
      </c>
      <c r="O788" t="s">
        <v>22</v>
      </c>
    </row>
    <row r="789" spans="1:15" x14ac:dyDescent="0.2">
      <c r="A789" t="s">
        <v>1143</v>
      </c>
      <c r="B789" t="s">
        <v>119</v>
      </c>
      <c r="C789">
        <v>33</v>
      </c>
      <c r="D789" t="s">
        <v>89</v>
      </c>
      <c r="E789" t="s">
        <v>26</v>
      </c>
      <c r="F789" t="s">
        <v>27</v>
      </c>
      <c r="G789" s="2">
        <v>46231</v>
      </c>
      <c r="H789" t="s">
        <v>28</v>
      </c>
      <c r="I789" s="3">
        <v>2832229</v>
      </c>
      <c r="J789">
        <v>790</v>
      </c>
      <c r="K789" t="s">
        <v>67</v>
      </c>
      <c r="L789" t="s">
        <v>45</v>
      </c>
      <c r="M789">
        <v>78</v>
      </c>
      <c r="N789" s="3">
        <v>30580.79</v>
      </c>
      <c r="O789" t="s">
        <v>22</v>
      </c>
    </row>
    <row r="790" spans="1:15" x14ac:dyDescent="0.2">
      <c r="A790" t="s">
        <v>1144</v>
      </c>
      <c r="B790" t="s">
        <v>201</v>
      </c>
      <c r="C790">
        <v>57</v>
      </c>
      <c r="D790" t="s">
        <v>105</v>
      </c>
      <c r="E790" t="s">
        <v>26</v>
      </c>
      <c r="F790" t="s">
        <v>18</v>
      </c>
      <c r="G790" s="2">
        <v>46098</v>
      </c>
      <c r="H790" t="s">
        <v>33</v>
      </c>
      <c r="I790" s="3">
        <v>3362734</v>
      </c>
      <c r="J790">
        <v>818</v>
      </c>
      <c r="K790" t="s">
        <v>67</v>
      </c>
      <c r="L790" t="s">
        <v>21</v>
      </c>
      <c r="M790">
        <v>32</v>
      </c>
      <c r="N790" s="3">
        <v>1087.0899999999999</v>
      </c>
      <c r="O790" t="s">
        <v>22</v>
      </c>
    </row>
    <row r="791" spans="1:15" x14ac:dyDescent="0.2">
      <c r="A791" t="s">
        <v>1145</v>
      </c>
      <c r="B791" t="s">
        <v>397</v>
      </c>
      <c r="C791">
        <v>58</v>
      </c>
      <c r="D791" t="s">
        <v>48</v>
      </c>
      <c r="E791" t="s">
        <v>17</v>
      </c>
      <c r="F791" t="s">
        <v>27</v>
      </c>
      <c r="G791" s="2">
        <v>45851</v>
      </c>
      <c r="H791" t="s">
        <v>33</v>
      </c>
      <c r="I791" s="3">
        <v>608062</v>
      </c>
      <c r="J791">
        <v>847</v>
      </c>
      <c r="K791" t="s">
        <v>29</v>
      </c>
      <c r="L791" t="s">
        <v>38</v>
      </c>
      <c r="M791">
        <v>60</v>
      </c>
      <c r="N791" s="3">
        <v>16276.49</v>
      </c>
      <c r="O791" t="s">
        <v>335</v>
      </c>
    </row>
    <row r="792" spans="1:15" x14ac:dyDescent="0.2">
      <c r="A792" t="s">
        <v>1146</v>
      </c>
      <c r="B792" t="s">
        <v>371</v>
      </c>
      <c r="C792">
        <v>44</v>
      </c>
      <c r="D792" t="s">
        <v>51</v>
      </c>
      <c r="E792" t="s">
        <v>17</v>
      </c>
      <c r="F792" t="s">
        <v>27</v>
      </c>
      <c r="G792" s="2">
        <v>46049</v>
      </c>
      <c r="H792" t="s">
        <v>33</v>
      </c>
      <c r="I792" s="3">
        <v>3205251</v>
      </c>
      <c r="J792">
        <v>637</v>
      </c>
      <c r="K792" t="s">
        <v>92</v>
      </c>
      <c r="L792" t="s">
        <v>21</v>
      </c>
      <c r="M792">
        <v>50</v>
      </c>
      <c r="N792" s="3">
        <v>16115.85</v>
      </c>
      <c r="O792" t="s">
        <v>22</v>
      </c>
    </row>
    <row r="793" spans="1:15" x14ac:dyDescent="0.2">
      <c r="A793" t="s">
        <v>1147</v>
      </c>
      <c r="B793" t="s">
        <v>596</v>
      </c>
      <c r="C793">
        <v>22</v>
      </c>
      <c r="D793" t="s">
        <v>55</v>
      </c>
      <c r="E793" t="s">
        <v>26</v>
      </c>
      <c r="F793" t="s">
        <v>27</v>
      </c>
      <c r="G793" s="2">
        <v>45683</v>
      </c>
      <c r="H793" t="s">
        <v>28</v>
      </c>
      <c r="I793" s="3">
        <v>2327645</v>
      </c>
      <c r="J793">
        <v>613</v>
      </c>
      <c r="K793" t="s">
        <v>92</v>
      </c>
      <c r="L793" t="s">
        <v>38</v>
      </c>
      <c r="M793">
        <v>27</v>
      </c>
      <c r="N793" s="3">
        <v>1881</v>
      </c>
      <c r="O793" t="s">
        <v>22</v>
      </c>
    </row>
    <row r="794" spans="1:15" x14ac:dyDescent="0.2">
      <c r="A794" t="s">
        <v>1148</v>
      </c>
      <c r="B794" t="s">
        <v>429</v>
      </c>
      <c r="C794">
        <v>42</v>
      </c>
      <c r="D794" t="s">
        <v>51</v>
      </c>
      <c r="E794" t="s">
        <v>26</v>
      </c>
      <c r="F794" t="s">
        <v>27</v>
      </c>
      <c r="G794" s="2">
        <v>46092</v>
      </c>
      <c r="H794" t="s">
        <v>28</v>
      </c>
      <c r="I794" s="3">
        <v>1651471</v>
      </c>
      <c r="J794">
        <v>842</v>
      </c>
      <c r="K794" t="s">
        <v>86</v>
      </c>
      <c r="L794" t="s">
        <v>21</v>
      </c>
      <c r="M794">
        <v>120</v>
      </c>
      <c r="N794" s="3">
        <v>4576.92</v>
      </c>
      <c r="O794" t="s">
        <v>22</v>
      </c>
    </row>
    <row r="795" spans="1:15" x14ac:dyDescent="0.2">
      <c r="A795" t="s">
        <v>1149</v>
      </c>
      <c r="B795" t="s">
        <v>578</v>
      </c>
      <c r="C795">
        <v>37</v>
      </c>
      <c r="D795" t="s">
        <v>48</v>
      </c>
      <c r="E795" t="s">
        <v>26</v>
      </c>
      <c r="F795" t="s">
        <v>100</v>
      </c>
      <c r="G795" s="2">
        <v>45830</v>
      </c>
      <c r="H795" t="s">
        <v>44</v>
      </c>
      <c r="I795" s="3">
        <v>1966548</v>
      </c>
      <c r="J795">
        <v>614</v>
      </c>
      <c r="K795" t="s">
        <v>78</v>
      </c>
      <c r="L795" t="s">
        <v>45</v>
      </c>
      <c r="M795">
        <v>25</v>
      </c>
      <c r="N795" s="3">
        <v>2943.98</v>
      </c>
      <c r="O795" t="s">
        <v>22</v>
      </c>
    </row>
    <row r="796" spans="1:15" x14ac:dyDescent="0.2">
      <c r="A796" t="s">
        <v>1150</v>
      </c>
      <c r="B796" t="s">
        <v>654</v>
      </c>
      <c r="C796">
        <v>56</v>
      </c>
      <c r="D796" t="s">
        <v>48</v>
      </c>
      <c r="E796" t="s">
        <v>26</v>
      </c>
      <c r="F796" t="s">
        <v>27</v>
      </c>
      <c r="G796" s="2">
        <v>45957</v>
      </c>
      <c r="H796" t="s">
        <v>28</v>
      </c>
      <c r="I796" s="3">
        <v>1268143</v>
      </c>
      <c r="J796">
        <v>850</v>
      </c>
      <c r="K796" t="s">
        <v>67</v>
      </c>
      <c r="L796" t="s">
        <v>30</v>
      </c>
      <c r="M796">
        <v>52</v>
      </c>
      <c r="N796" s="3">
        <v>22167.29</v>
      </c>
      <c r="O796" t="s">
        <v>22</v>
      </c>
    </row>
    <row r="797" spans="1:15" x14ac:dyDescent="0.2">
      <c r="A797" t="s">
        <v>1151</v>
      </c>
      <c r="B797" t="s">
        <v>203</v>
      </c>
      <c r="C797">
        <v>34</v>
      </c>
      <c r="D797" t="s">
        <v>25</v>
      </c>
      <c r="E797" t="s">
        <v>26</v>
      </c>
      <c r="F797" t="s">
        <v>100</v>
      </c>
      <c r="G797" s="2">
        <v>45983</v>
      </c>
      <c r="H797" t="s">
        <v>44</v>
      </c>
      <c r="I797" s="3">
        <v>4350321</v>
      </c>
      <c r="J797">
        <v>806</v>
      </c>
      <c r="K797" t="s">
        <v>57</v>
      </c>
      <c r="L797" t="s">
        <v>45</v>
      </c>
      <c r="M797">
        <v>68</v>
      </c>
      <c r="N797" s="3">
        <v>12386.13</v>
      </c>
      <c r="O797" t="s">
        <v>22</v>
      </c>
    </row>
    <row r="798" spans="1:15" x14ac:dyDescent="0.2">
      <c r="A798" t="s">
        <v>1152</v>
      </c>
      <c r="B798" t="s">
        <v>1153</v>
      </c>
      <c r="C798">
        <v>30</v>
      </c>
      <c r="D798" t="s">
        <v>51</v>
      </c>
      <c r="E798" t="s">
        <v>56</v>
      </c>
      <c r="F798" t="s">
        <v>43</v>
      </c>
      <c r="G798" s="2">
        <v>46067</v>
      </c>
      <c r="H798" t="s">
        <v>33</v>
      </c>
      <c r="I798" s="3">
        <v>4408527</v>
      </c>
      <c r="J798">
        <v>604</v>
      </c>
      <c r="K798" t="s">
        <v>29</v>
      </c>
      <c r="L798" t="s">
        <v>38</v>
      </c>
      <c r="M798">
        <v>21</v>
      </c>
      <c r="N798" s="3">
        <v>47992.08</v>
      </c>
      <c r="O798" t="s">
        <v>22</v>
      </c>
    </row>
    <row r="799" spans="1:15" x14ac:dyDescent="0.2">
      <c r="A799" t="s">
        <v>1154</v>
      </c>
      <c r="B799" t="s">
        <v>1155</v>
      </c>
      <c r="C799">
        <v>55</v>
      </c>
      <c r="D799" t="s">
        <v>37</v>
      </c>
      <c r="E799" t="s">
        <v>26</v>
      </c>
      <c r="F799" t="s">
        <v>27</v>
      </c>
      <c r="G799" s="2">
        <v>45775</v>
      </c>
      <c r="H799" t="s">
        <v>52</v>
      </c>
      <c r="I799" s="3">
        <v>2137145</v>
      </c>
      <c r="J799">
        <v>813</v>
      </c>
      <c r="K799" t="s">
        <v>67</v>
      </c>
      <c r="L799" t="s">
        <v>58</v>
      </c>
      <c r="M799">
        <v>18</v>
      </c>
      <c r="N799" s="3">
        <v>11082.27</v>
      </c>
      <c r="O799" t="s">
        <v>22</v>
      </c>
    </row>
    <row r="800" spans="1:15" x14ac:dyDescent="0.2">
      <c r="A800" t="s">
        <v>1156</v>
      </c>
      <c r="B800" t="s">
        <v>1157</v>
      </c>
      <c r="C800">
        <v>45</v>
      </c>
      <c r="D800" t="s">
        <v>51</v>
      </c>
      <c r="E800" t="s">
        <v>26</v>
      </c>
      <c r="F800" t="s">
        <v>100</v>
      </c>
      <c r="G800" s="2">
        <v>45882</v>
      </c>
      <c r="H800" t="s">
        <v>52</v>
      </c>
      <c r="I800" s="3">
        <v>2347711</v>
      </c>
      <c r="J800">
        <v>638</v>
      </c>
      <c r="K800" t="s">
        <v>86</v>
      </c>
      <c r="L800" t="s">
        <v>45</v>
      </c>
      <c r="M800">
        <v>39</v>
      </c>
      <c r="N800" s="3">
        <v>19319.23</v>
      </c>
      <c r="O800" t="s">
        <v>22</v>
      </c>
    </row>
    <row r="801" spans="1:15" x14ac:dyDescent="0.2">
      <c r="A801" t="s">
        <v>1158</v>
      </c>
      <c r="B801" t="s">
        <v>171</v>
      </c>
      <c r="C801">
        <v>23</v>
      </c>
      <c r="D801" t="s">
        <v>70</v>
      </c>
      <c r="E801" t="s">
        <v>17</v>
      </c>
      <c r="F801" t="s">
        <v>27</v>
      </c>
      <c r="G801" s="2">
        <v>46189</v>
      </c>
      <c r="H801" t="s">
        <v>28</v>
      </c>
      <c r="I801" s="3">
        <v>287361</v>
      </c>
      <c r="J801">
        <v>830</v>
      </c>
      <c r="K801" t="s">
        <v>34</v>
      </c>
      <c r="L801" t="s">
        <v>21</v>
      </c>
      <c r="M801">
        <v>15</v>
      </c>
      <c r="N801" s="3">
        <v>30656.85</v>
      </c>
      <c r="O801" t="s">
        <v>22</v>
      </c>
    </row>
    <row r="802" spans="1:15" x14ac:dyDescent="0.2">
      <c r="A802" t="s">
        <v>1159</v>
      </c>
      <c r="B802" t="s">
        <v>192</v>
      </c>
      <c r="C802">
        <v>67</v>
      </c>
      <c r="D802" t="s">
        <v>25</v>
      </c>
      <c r="E802" t="s">
        <v>17</v>
      </c>
      <c r="F802" t="s">
        <v>18</v>
      </c>
      <c r="G802" s="2">
        <v>45770</v>
      </c>
      <c r="H802" t="s">
        <v>33</v>
      </c>
      <c r="I802" s="3">
        <v>3148845</v>
      </c>
      <c r="J802">
        <v>665</v>
      </c>
      <c r="K802" t="s">
        <v>67</v>
      </c>
      <c r="L802" t="s">
        <v>30</v>
      </c>
      <c r="M802">
        <v>53</v>
      </c>
      <c r="N802" s="3">
        <v>16028.89</v>
      </c>
      <c r="O802" t="s">
        <v>22</v>
      </c>
    </row>
    <row r="803" spans="1:15" x14ac:dyDescent="0.2">
      <c r="A803" t="s">
        <v>1160</v>
      </c>
      <c r="B803" t="s">
        <v>458</v>
      </c>
      <c r="C803">
        <v>58</v>
      </c>
      <c r="D803" t="s">
        <v>75</v>
      </c>
      <c r="E803" t="s">
        <v>56</v>
      </c>
      <c r="F803" t="s">
        <v>100</v>
      </c>
      <c r="G803" s="2">
        <v>45797</v>
      </c>
      <c r="H803" t="s">
        <v>44</v>
      </c>
      <c r="I803" s="3">
        <v>3713227</v>
      </c>
      <c r="J803">
        <v>830</v>
      </c>
      <c r="K803" t="s">
        <v>34</v>
      </c>
      <c r="L803" t="s">
        <v>21</v>
      </c>
      <c r="M803">
        <v>38</v>
      </c>
      <c r="N803" s="3">
        <v>5982.58</v>
      </c>
      <c r="O803" t="s">
        <v>22</v>
      </c>
    </row>
    <row r="804" spans="1:15" x14ac:dyDescent="0.2">
      <c r="A804" t="s">
        <v>1161</v>
      </c>
      <c r="B804" t="s">
        <v>559</v>
      </c>
      <c r="C804">
        <v>37</v>
      </c>
      <c r="D804" t="s">
        <v>75</v>
      </c>
      <c r="E804" t="s">
        <v>17</v>
      </c>
      <c r="F804" t="s">
        <v>27</v>
      </c>
      <c r="G804" s="2">
        <v>46216</v>
      </c>
      <c r="H804" t="s">
        <v>28</v>
      </c>
      <c r="I804" s="3">
        <v>2707856</v>
      </c>
      <c r="J804">
        <v>759</v>
      </c>
      <c r="K804" t="s">
        <v>20</v>
      </c>
      <c r="L804" t="s">
        <v>21</v>
      </c>
      <c r="M804">
        <v>48</v>
      </c>
      <c r="N804" s="3">
        <v>4920.62</v>
      </c>
      <c r="O804" t="s">
        <v>22</v>
      </c>
    </row>
    <row r="805" spans="1:15" x14ac:dyDescent="0.2">
      <c r="A805" t="s">
        <v>1162</v>
      </c>
      <c r="B805" t="s">
        <v>285</v>
      </c>
      <c r="C805">
        <v>32</v>
      </c>
      <c r="D805" t="s">
        <v>70</v>
      </c>
      <c r="E805" t="s">
        <v>26</v>
      </c>
      <c r="F805" t="s">
        <v>27</v>
      </c>
      <c r="G805" s="2">
        <v>45658</v>
      </c>
      <c r="H805" t="s">
        <v>19</v>
      </c>
      <c r="I805" s="3">
        <v>2011856</v>
      </c>
      <c r="J805">
        <v>786</v>
      </c>
      <c r="K805" t="s">
        <v>92</v>
      </c>
      <c r="L805" t="s">
        <v>45</v>
      </c>
      <c r="M805">
        <v>52</v>
      </c>
      <c r="N805" s="3">
        <v>8236.08</v>
      </c>
      <c r="O805" t="s">
        <v>22</v>
      </c>
    </row>
    <row r="806" spans="1:15" x14ac:dyDescent="0.2">
      <c r="A806" t="s">
        <v>1163</v>
      </c>
      <c r="B806" t="s">
        <v>236</v>
      </c>
      <c r="C806">
        <v>44</v>
      </c>
      <c r="D806" t="s">
        <v>42</v>
      </c>
      <c r="E806" t="s">
        <v>56</v>
      </c>
      <c r="F806" t="s">
        <v>18</v>
      </c>
      <c r="G806" s="2">
        <v>45747</v>
      </c>
      <c r="H806" t="s">
        <v>28</v>
      </c>
      <c r="I806" s="3">
        <v>2591102</v>
      </c>
      <c r="J806">
        <v>728</v>
      </c>
      <c r="K806" t="s">
        <v>92</v>
      </c>
      <c r="L806" t="s">
        <v>30</v>
      </c>
      <c r="M806">
        <v>88</v>
      </c>
      <c r="N806" s="3">
        <v>20669.47</v>
      </c>
      <c r="O806" t="s">
        <v>22</v>
      </c>
    </row>
    <row r="807" spans="1:15" x14ac:dyDescent="0.2">
      <c r="A807" t="s">
        <v>1164</v>
      </c>
      <c r="B807" t="s">
        <v>1165</v>
      </c>
      <c r="C807">
        <v>49</v>
      </c>
      <c r="D807" t="s">
        <v>75</v>
      </c>
      <c r="E807" t="s">
        <v>17</v>
      </c>
      <c r="F807" t="s">
        <v>27</v>
      </c>
      <c r="G807" s="2">
        <v>45977</v>
      </c>
      <c r="H807" t="s">
        <v>28</v>
      </c>
      <c r="I807" s="3">
        <v>3821488</v>
      </c>
      <c r="J807">
        <v>650</v>
      </c>
      <c r="K807" t="s">
        <v>29</v>
      </c>
      <c r="L807" t="s">
        <v>58</v>
      </c>
      <c r="M807">
        <v>72</v>
      </c>
      <c r="N807" s="3">
        <v>4006.17</v>
      </c>
      <c r="O807" t="s">
        <v>39</v>
      </c>
    </row>
    <row r="808" spans="1:15" x14ac:dyDescent="0.2">
      <c r="A808" t="s">
        <v>1166</v>
      </c>
      <c r="B808" t="s">
        <v>156</v>
      </c>
      <c r="C808">
        <v>63</v>
      </c>
      <c r="D808" t="s">
        <v>70</v>
      </c>
      <c r="E808" t="s">
        <v>26</v>
      </c>
      <c r="F808" t="s">
        <v>27</v>
      </c>
      <c r="G808" s="2">
        <v>46207</v>
      </c>
      <c r="H808" t="s">
        <v>28</v>
      </c>
      <c r="I808" s="3">
        <v>250037</v>
      </c>
      <c r="J808">
        <v>700</v>
      </c>
      <c r="K808" t="s">
        <v>78</v>
      </c>
      <c r="L808" t="s">
        <v>21</v>
      </c>
      <c r="M808">
        <v>28</v>
      </c>
      <c r="N808" s="3">
        <v>17761.02</v>
      </c>
      <c r="O808" t="s">
        <v>22</v>
      </c>
    </row>
    <row r="809" spans="1:15" x14ac:dyDescent="0.2">
      <c r="A809" t="s">
        <v>1167</v>
      </c>
      <c r="B809" t="s">
        <v>492</v>
      </c>
      <c r="C809">
        <v>45</v>
      </c>
      <c r="D809" t="s">
        <v>16</v>
      </c>
      <c r="E809" t="s">
        <v>17</v>
      </c>
      <c r="F809" t="s">
        <v>27</v>
      </c>
      <c r="G809" s="2">
        <v>45796</v>
      </c>
      <c r="H809" t="s">
        <v>19</v>
      </c>
      <c r="I809" s="3">
        <v>3867177</v>
      </c>
      <c r="J809">
        <v>832</v>
      </c>
      <c r="K809" t="s">
        <v>78</v>
      </c>
      <c r="L809" t="s">
        <v>30</v>
      </c>
      <c r="M809">
        <v>85</v>
      </c>
      <c r="N809" s="3">
        <v>12566.17</v>
      </c>
      <c r="O809" t="s">
        <v>22</v>
      </c>
    </row>
    <row r="810" spans="1:15" x14ac:dyDescent="0.2">
      <c r="A810" t="s">
        <v>1168</v>
      </c>
      <c r="B810" t="s">
        <v>721</v>
      </c>
      <c r="C810">
        <v>56</v>
      </c>
      <c r="D810" t="s">
        <v>37</v>
      </c>
      <c r="E810" t="s">
        <v>56</v>
      </c>
      <c r="F810" t="s">
        <v>27</v>
      </c>
      <c r="G810" s="2">
        <v>46168</v>
      </c>
      <c r="H810" t="s">
        <v>28</v>
      </c>
      <c r="I810" s="3">
        <v>871531</v>
      </c>
      <c r="J810">
        <v>672</v>
      </c>
      <c r="K810" t="s">
        <v>29</v>
      </c>
      <c r="L810" t="s">
        <v>58</v>
      </c>
      <c r="M810">
        <v>16</v>
      </c>
      <c r="N810" s="3">
        <v>2401.9299999999998</v>
      </c>
      <c r="O810" t="s">
        <v>22</v>
      </c>
    </row>
    <row r="811" spans="1:15" x14ac:dyDescent="0.2">
      <c r="A811" t="s">
        <v>1169</v>
      </c>
      <c r="B811" t="s">
        <v>234</v>
      </c>
      <c r="C811">
        <v>46</v>
      </c>
      <c r="D811" t="s">
        <v>51</v>
      </c>
      <c r="E811" t="s">
        <v>26</v>
      </c>
      <c r="F811" t="s">
        <v>18</v>
      </c>
      <c r="G811" s="2">
        <v>45916</v>
      </c>
      <c r="H811" t="s">
        <v>44</v>
      </c>
      <c r="I811" s="3">
        <v>903668</v>
      </c>
      <c r="J811">
        <v>835</v>
      </c>
      <c r="K811" t="s">
        <v>29</v>
      </c>
      <c r="L811" t="s">
        <v>21</v>
      </c>
      <c r="M811">
        <v>118</v>
      </c>
      <c r="N811" s="3">
        <v>16877.080000000002</v>
      </c>
      <c r="O811" t="s">
        <v>22</v>
      </c>
    </row>
    <row r="812" spans="1:15" x14ac:dyDescent="0.2">
      <c r="A812" t="s">
        <v>1170</v>
      </c>
      <c r="B812" t="s">
        <v>305</v>
      </c>
      <c r="C812">
        <v>58</v>
      </c>
      <c r="D812" t="s">
        <v>37</v>
      </c>
      <c r="E812" t="s">
        <v>26</v>
      </c>
      <c r="F812" t="s">
        <v>27</v>
      </c>
      <c r="G812" s="2">
        <v>45667</v>
      </c>
      <c r="H812" t="s">
        <v>44</v>
      </c>
      <c r="I812" s="3">
        <v>3654158</v>
      </c>
      <c r="J812">
        <v>833</v>
      </c>
      <c r="K812" t="s">
        <v>86</v>
      </c>
      <c r="L812" t="s">
        <v>30</v>
      </c>
      <c r="M812">
        <v>16</v>
      </c>
      <c r="N812" s="3">
        <v>10394.34</v>
      </c>
      <c r="O812" t="s">
        <v>22</v>
      </c>
    </row>
    <row r="813" spans="1:15" x14ac:dyDescent="0.2">
      <c r="A813" t="s">
        <v>1171</v>
      </c>
      <c r="B813" t="s">
        <v>877</v>
      </c>
      <c r="C813">
        <v>21</v>
      </c>
      <c r="D813" t="s">
        <v>70</v>
      </c>
      <c r="E813" t="s">
        <v>26</v>
      </c>
      <c r="F813" t="s">
        <v>27</v>
      </c>
      <c r="G813" s="2">
        <v>45918</v>
      </c>
      <c r="H813" t="s">
        <v>28</v>
      </c>
      <c r="I813" s="3">
        <v>2906040</v>
      </c>
      <c r="J813">
        <v>638</v>
      </c>
      <c r="K813" t="s">
        <v>34</v>
      </c>
      <c r="L813" t="s">
        <v>45</v>
      </c>
      <c r="M813">
        <v>35</v>
      </c>
      <c r="N813" s="3">
        <v>5023.84</v>
      </c>
      <c r="O813" t="s">
        <v>22</v>
      </c>
    </row>
    <row r="814" spans="1:15" x14ac:dyDescent="0.2">
      <c r="A814" t="s">
        <v>1172</v>
      </c>
      <c r="B814" t="s">
        <v>392</v>
      </c>
      <c r="C814">
        <v>40</v>
      </c>
      <c r="D814" t="s">
        <v>128</v>
      </c>
      <c r="E814" t="s">
        <v>26</v>
      </c>
      <c r="F814" t="s">
        <v>43</v>
      </c>
      <c r="G814" s="2">
        <v>45829</v>
      </c>
      <c r="H814" t="s">
        <v>28</v>
      </c>
      <c r="I814" s="3">
        <v>953645</v>
      </c>
      <c r="J814">
        <v>648</v>
      </c>
      <c r="K814" t="s">
        <v>29</v>
      </c>
      <c r="L814" t="s">
        <v>21</v>
      </c>
      <c r="M814">
        <v>17</v>
      </c>
      <c r="N814" s="3">
        <v>10237.370000000001</v>
      </c>
      <c r="O814" t="s">
        <v>22</v>
      </c>
    </row>
    <row r="815" spans="1:15" x14ac:dyDescent="0.2">
      <c r="A815" t="s">
        <v>1173</v>
      </c>
      <c r="B815" t="s">
        <v>1011</v>
      </c>
      <c r="C815">
        <v>48</v>
      </c>
      <c r="D815" t="s">
        <v>51</v>
      </c>
      <c r="E815" t="s">
        <v>26</v>
      </c>
      <c r="F815" t="s">
        <v>27</v>
      </c>
      <c r="G815" s="2">
        <v>45670</v>
      </c>
      <c r="H815" t="s">
        <v>52</v>
      </c>
      <c r="I815" s="3">
        <v>1555927</v>
      </c>
      <c r="J815">
        <v>665</v>
      </c>
      <c r="K815" t="s">
        <v>34</v>
      </c>
      <c r="L815" t="s">
        <v>21</v>
      </c>
      <c r="M815">
        <v>73</v>
      </c>
      <c r="N815" s="3">
        <v>5233.1400000000003</v>
      </c>
      <c r="O815" t="s">
        <v>22</v>
      </c>
    </row>
    <row r="816" spans="1:15" x14ac:dyDescent="0.2">
      <c r="A816" t="s">
        <v>1174</v>
      </c>
      <c r="B816" t="s">
        <v>287</v>
      </c>
      <c r="C816">
        <v>36</v>
      </c>
      <c r="D816" t="s">
        <v>16</v>
      </c>
      <c r="E816" t="s">
        <v>17</v>
      </c>
      <c r="F816" t="s">
        <v>27</v>
      </c>
      <c r="G816" s="2">
        <v>45825</v>
      </c>
      <c r="H816" t="s">
        <v>28</v>
      </c>
      <c r="I816" s="3">
        <v>2871872</v>
      </c>
      <c r="J816">
        <v>806</v>
      </c>
      <c r="K816" t="s">
        <v>67</v>
      </c>
      <c r="L816" t="s">
        <v>30</v>
      </c>
      <c r="M816">
        <v>99</v>
      </c>
      <c r="N816" s="3">
        <v>11615.04</v>
      </c>
      <c r="O816" t="s">
        <v>22</v>
      </c>
    </row>
    <row r="817" spans="1:15" x14ac:dyDescent="0.2">
      <c r="A817" t="s">
        <v>1175</v>
      </c>
      <c r="B817" t="s">
        <v>614</v>
      </c>
      <c r="C817">
        <v>67</v>
      </c>
      <c r="D817" t="s">
        <v>16</v>
      </c>
      <c r="E817" t="s">
        <v>26</v>
      </c>
      <c r="F817" t="s">
        <v>18</v>
      </c>
      <c r="G817" s="2">
        <v>46253</v>
      </c>
      <c r="I817" s="3">
        <v>843975</v>
      </c>
      <c r="J817">
        <v>660</v>
      </c>
      <c r="K817" t="s">
        <v>67</v>
      </c>
      <c r="L817" t="s">
        <v>21</v>
      </c>
      <c r="M817">
        <v>52</v>
      </c>
      <c r="N817" s="3">
        <v>7507.38</v>
      </c>
      <c r="O817" t="s">
        <v>22</v>
      </c>
    </row>
    <row r="818" spans="1:15" x14ac:dyDescent="0.2">
      <c r="A818" t="s">
        <v>1176</v>
      </c>
      <c r="B818" t="s">
        <v>123</v>
      </c>
      <c r="C818">
        <v>37</v>
      </c>
      <c r="D818" t="s">
        <v>37</v>
      </c>
      <c r="E818" t="s">
        <v>83</v>
      </c>
      <c r="F818" t="s">
        <v>27</v>
      </c>
      <c r="G818" s="2">
        <v>45978</v>
      </c>
      <c r="H818" t="s">
        <v>28</v>
      </c>
      <c r="I818" s="3">
        <v>3115728</v>
      </c>
      <c r="J818">
        <v>693</v>
      </c>
      <c r="K818" t="s">
        <v>20</v>
      </c>
      <c r="L818" t="s">
        <v>58</v>
      </c>
      <c r="M818">
        <v>93</v>
      </c>
      <c r="N818" s="3">
        <v>1796.47</v>
      </c>
      <c r="O818" t="s">
        <v>22</v>
      </c>
    </row>
    <row r="819" spans="1:15" x14ac:dyDescent="0.2">
      <c r="A819" t="s">
        <v>1177</v>
      </c>
      <c r="B819" t="s">
        <v>877</v>
      </c>
      <c r="C819">
        <v>60</v>
      </c>
      <c r="D819" t="s">
        <v>105</v>
      </c>
      <c r="E819" t="s">
        <v>56</v>
      </c>
      <c r="F819" t="s">
        <v>18</v>
      </c>
      <c r="G819" s="2">
        <v>45976</v>
      </c>
      <c r="H819" t="s">
        <v>28</v>
      </c>
      <c r="I819" s="3">
        <v>4233063</v>
      </c>
      <c r="J819">
        <v>763</v>
      </c>
      <c r="K819" t="s">
        <v>34</v>
      </c>
      <c r="L819" t="s">
        <v>21</v>
      </c>
      <c r="M819">
        <v>103</v>
      </c>
      <c r="N819" s="3">
        <v>7747.01</v>
      </c>
      <c r="O819" t="s">
        <v>22</v>
      </c>
    </row>
    <row r="820" spans="1:15" x14ac:dyDescent="0.2">
      <c r="A820" t="s">
        <v>1178</v>
      </c>
      <c r="B820" t="s">
        <v>981</v>
      </c>
      <c r="C820">
        <v>48</v>
      </c>
      <c r="D820" t="s">
        <v>51</v>
      </c>
      <c r="E820" t="s">
        <v>17</v>
      </c>
      <c r="F820" t="s">
        <v>100</v>
      </c>
      <c r="G820" s="2">
        <v>45986</v>
      </c>
      <c r="H820" t="s">
        <v>52</v>
      </c>
      <c r="I820" s="3">
        <v>2532373</v>
      </c>
      <c r="J820">
        <v>633</v>
      </c>
      <c r="K820" t="s">
        <v>86</v>
      </c>
      <c r="L820" t="s">
        <v>38</v>
      </c>
      <c r="M820">
        <v>82</v>
      </c>
      <c r="N820" s="3">
        <v>5626.16</v>
      </c>
      <c r="O820" t="s">
        <v>22</v>
      </c>
    </row>
    <row r="821" spans="1:15" x14ac:dyDescent="0.2">
      <c r="A821" t="s">
        <v>1179</v>
      </c>
      <c r="B821" t="s">
        <v>351</v>
      </c>
      <c r="C821">
        <v>32</v>
      </c>
      <c r="D821" t="s">
        <v>89</v>
      </c>
      <c r="E821" t="s">
        <v>56</v>
      </c>
      <c r="F821" t="s">
        <v>27</v>
      </c>
      <c r="G821" s="2">
        <v>46207</v>
      </c>
      <c r="H821" t="s">
        <v>28</v>
      </c>
      <c r="I821" s="3">
        <v>3090152</v>
      </c>
      <c r="J821">
        <v>776</v>
      </c>
      <c r="K821" t="s">
        <v>67</v>
      </c>
      <c r="L821" t="s">
        <v>58</v>
      </c>
      <c r="M821">
        <v>12</v>
      </c>
      <c r="N821" s="3">
        <v>17454.73</v>
      </c>
      <c r="O821" t="s">
        <v>22</v>
      </c>
    </row>
    <row r="822" spans="1:15" x14ac:dyDescent="0.2">
      <c r="A822" t="s">
        <v>1180</v>
      </c>
      <c r="B822" t="s">
        <v>815</v>
      </c>
      <c r="C822">
        <v>47</v>
      </c>
      <c r="D822" t="s">
        <v>16</v>
      </c>
      <c r="E822" t="s">
        <v>26</v>
      </c>
      <c r="F822" t="s">
        <v>43</v>
      </c>
      <c r="G822" s="2">
        <v>46076</v>
      </c>
      <c r="H822" t="s">
        <v>28</v>
      </c>
      <c r="I822" s="3">
        <v>2800552</v>
      </c>
      <c r="J822">
        <v>759</v>
      </c>
      <c r="K822" t="s">
        <v>92</v>
      </c>
      <c r="L822" t="s">
        <v>30</v>
      </c>
      <c r="M822">
        <v>83</v>
      </c>
      <c r="N822" s="3">
        <v>22556.01</v>
      </c>
      <c r="O822" t="s">
        <v>22</v>
      </c>
    </row>
    <row r="823" spans="1:15" x14ac:dyDescent="0.2">
      <c r="A823" t="s">
        <v>1181</v>
      </c>
      <c r="B823" t="s">
        <v>85</v>
      </c>
      <c r="C823">
        <v>62</v>
      </c>
      <c r="D823" t="s">
        <v>128</v>
      </c>
      <c r="E823" t="s">
        <v>26</v>
      </c>
      <c r="F823" t="s">
        <v>27</v>
      </c>
      <c r="G823" s="2">
        <v>46263</v>
      </c>
      <c r="H823" t="s">
        <v>28</v>
      </c>
      <c r="I823" s="3">
        <v>1102224</v>
      </c>
      <c r="J823">
        <v>801</v>
      </c>
      <c r="K823" t="s">
        <v>92</v>
      </c>
      <c r="L823" t="s">
        <v>58</v>
      </c>
      <c r="M823">
        <v>48</v>
      </c>
      <c r="N823" s="3">
        <v>5247.72</v>
      </c>
      <c r="O823" t="s">
        <v>22</v>
      </c>
    </row>
    <row r="824" spans="1:15" x14ac:dyDescent="0.2">
      <c r="A824" t="s">
        <v>1182</v>
      </c>
      <c r="B824" t="s">
        <v>721</v>
      </c>
      <c r="C824">
        <v>67</v>
      </c>
      <c r="D824" t="s">
        <v>25</v>
      </c>
      <c r="E824" t="s">
        <v>17</v>
      </c>
      <c r="F824" t="s">
        <v>27</v>
      </c>
      <c r="G824" s="2">
        <v>45752</v>
      </c>
      <c r="H824" t="s">
        <v>28</v>
      </c>
      <c r="I824" s="3">
        <v>2642735</v>
      </c>
      <c r="J824">
        <v>823</v>
      </c>
      <c r="K824" t="s">
        <v>67</v>
      </c>
      <c r="L824" t="s">
        <v>38</v>
      </c>
      <c r="M824">
        <v>22</v>
      </c>
      <c r="N824" s="3">
        <v>3909.38</v>
      </c>
      <c r="O824" t="s">
        <v>22</v>
      </c>
    </row>
    <row r="825" spans="1:15" x14ac:dyDescent="0.2">
      <c r="A825" t="s">
        <v>1183</v>
      </c>
      <c r="B825" t="s">
        <v>234</v>
      </c>
      <c r="C825">
        <v>50</v>
      </c>
      <c r="D825" t="s">
        <v>42</v>
      </c>
      <c r="E825" t="s">
        <v>56</v>
      </c>
      <c r="F825" t="s">
        <v>100</v>
      </c>
      <c r="G825" s="2">
        <v>46238</v>
      </c>
      <c r="H825" t="s">
        <v>33</v>
      </c>
      <c r="I825" s="3">
        <v>1611968</v>
      </c>
      <c r="J825">
        <v>733</v>
      </c>
      <c r="K825" t="s">
        <v>67</v>
      </c>
      <c r="L825" t="s">
        <v>38</v>
      </c>
      <c r="M825">
        <v>120</v>
      </c>
      <c r="N825" s="3">
        <v>1534.31</v>
      </c>
      <c r="O825" t="s">
        <v>22</v>
      </c>
    </row>
    <row r="826" spans="1:15" x14ac:dyDescent="0.2">
      <c r="A826" t="s">
        <v>1184</v>
      </c>
      <c r="B826" t="s">
        <v>563</v>
      </c>
      <c r="C826">
        <v>61</v>
      </c>
      <c r="D826" t="s">
        <v>105</v>
      </c>
      <c r="E826" t="s">
        <v>56</v>
      </c>
      <c r="F826" t="s">
        <v>100</v>
      </c>
      <c r="G826" s="2">
        <v>45975</v>
      </c>
      <c r="H826" t="s">
        <v>52</v>
      </c>
      <c r="I826" s="3">
        <v>3872546</v>
      </c>
      <c r="J826">
        <v>714</v>
      </c>
      <c r="K826" t="s">
        <v>67</v>
      </c>
      <c r="L826" t="s">
        <v>21</v>
      </c>
      <c r="M826">
        <v>49</v>
      </c>
      <c r="N826" s="3">
        <v>3809.53</v>
      </c>
      <c r="O826" t="s">
        <v>335</v>
      </c>
    </row>
    <row r="827" spans="1:15" x14ac:dyDescent="0.2">
      <c r="A827" t="s">
        <v>1185</v>
      </c>
      <c r="B827" t="s">
        <v>557</v>
      </c>
      <c r="C827">
        <v>54</v>
      </c>
      <c r="D827" t="s">
        <v>25</v>
      </c>
      <c r="E827" t="s">
        <v>26</v>
      </c>
      <c r="F827" t="s">
        <v>27</v>
      </c>
      <c r="G827" s="2">
        <v>45893</v>
      </c>
      <c r="H827" t="s">
        <v>28</v>
      </c>
      <c r="I827" s="3">
        <v>3856940</v>
      </c>
      <c r="J827">
        <v>587</v>
      </c>
      <c r="K827" t="s">
        <v>34</v>
      </c>
      <c r="L827" t="s">
        <v>21</v>
      </c>
      <c r="M827">
        <v>52</v>
      </c>
      <c r="N827" s="3">
        <v>6377.73</v>
      </c>
      <c r="O827" t="s">
        <v>22</v>
      </c>
    </row>
    <row r="828" spans="1:15" x14ac:dyDescent="0.2">
      <c r="A828" t="s">
        <v>1186</v>
      </c>
      <c r="B828" t="s">
        <v>590</v>
      </c>
      <c r="C828">
        <v>57</v>
      </c>
      <c r="D828" t="s">
        <v>105</v>
      </c>
      <c r="E828" t="s">
        <v>83</v>
      </c>
      <c r="F828" t="s">
        <v>43</v>
      </c>
      <c r="G828" s="2">
        <v>45991</v>
      </c>
      <c r="H828" t="s">
        <v>33</v>
      </c>
      <c r="I828" s="3">
        <v>3318929</v>
      </c>
      <c r="J828">
        <v>707</v>
      </c>
      <c r="K828" t="s">
        <v>92</v>
      </c>
      <c r="L828" t="s">
        <v>45</v>
      </c>
      <c r="M828">
        <v>79</v>
      </c>
      <c r="N828" s="3">
        <v>2194.64</v>
      </c>
      <c r="O828" t="s">
        <v>22</v>
      </c>
    </row>
    <row r="829" spans="1:15" x14ac:dyDescent="0.2">
      <c r="A829" t="s">
        <v>1187</v>
      </c>
      <c r="B829" t="s">
        <v>164</v>
      </c>
      <c r="C829">
        <v>26</v>
      </c>
      <c r="D829" t="s">
        <v>128</v>
      </c>
      <c r="E829" t="s">
        <v>26</v>
      </c>
      <c r="F829" t="s">
        <v>100</v>
      </c>
      <c r="G829" s="2">
        <v>46033</v>
      </c>
      <c r="H829" t="s">
        <v>33</v>
      </c>
      <c r="I829" s="3">
        <v>3850200</v>
      </c>
      <c r="J829">
        <v>635</v>
      </c>
      <c r="K829" t="s">
        <v>92</v>
      </c>
      <c r="L829" t="s">
        <v>58</v>
      </c>
      <c r="M829">
        <v>1</v>
      </c>
      <c r="N829" s="3">
        <v>22874.85</v>
      </c>
      <c r="O829" t="s">
        <v>39</v>
      </c>
    </row>
    <row r="830" spans="1:15" x14ac:dyDescent="0.2">
      <c r="A830" t="s">
        <v>1188</v>
      </c>
      <c r="B830" t="s">
        <v>859</v>
      </c>
      <c r="C830">
        <v>27</v>
      </c>
      <c r="D830" t="s">
        <v>37</v>
      </c>
      <c r="E830" t="s">
        <v>56</v>
      </c>
      <c r="F830" t="s">
        <v>100</v>
      </c>
      <c r="G830" s="2">
        <v>46116</v>
      </c>
      <c r="H830" t="s">
        <v>28</v>
      </c>
      <c r="I830" s="3">
        <v>809031</v>
      </c>
      <c r="J830">
        <v>705</v>
      </c>
      <c r="K830" t="s">
        <v>57</v>
      </c>
      <c r="L830" t="s">
        <v>45</v>
      </c>
      <c r="M830">
        <v>66</v>
      </c>
      <c r="N830" s="3">
        <v>11793.1</v>
      </c>
      <c r="O830" t="s">
        <v>22</v>
      </c>
    </row>
    <row r="831" spans="1:15" x14ac:dyDescent="0.2">
      <c r="A831" t="s">
        <v>1189</v>
      </c>
      <c r="B831" t="s">
        <v>458</v>
      </c>
      <c r="C831">
        <v>52</v>
      </c>
      <c r="D831" t="s">
        <v>48</v>
      </c>
      <c r="E831" t="s">
        <v>83</v>
      </c>
      <c r="F831" t="s">
        <v>43</v>
      </c>
      <c r="G831" s="2">
        <v>45794</v>
      </c>
      <c r="H831" t="s">
        <v>28</v>
      </c>
      <c r="I831" s="3">
        <v>2951243</v>
      </c>
      <c r="J831">
        <v>738</v>
      </c>
      <c r="K831" t="s">
        <v>67</v>
      </c>
      <c r="L831" t="s">
        <v>38</v>
      </c>
      <c r="M831">
        <v>64</v>
      </c>
      <c r="N831" s="3">
        <v>7891.67</v>
      </c>
      <c r="O831" t="s">
        <v>22</v>
      </c>
    </row>
    <row r="832" spans="1:15" x14ac:dyDescent="0.2">
      <c r="A832" t="s">
        <v>1190</v>
      </c>
      <c r="B832" t="s">
        <v>802</v>
      </c>
      <c r="C832">
        <v>52</v>
      </c>
      <c r="D832" t="s">
        <v>51</v>
      </c>
      <c r="E832" t="s">
        <v>26</v>
      </c>
      <c r="F832" t="s">
        <v>27</v>
      </c>
      <c r="G832" s="2">
        <v>46245</v>
      </c>
      <c r="H832" t="s">
        <v>44</v>
      </c>
      <c r="I832" s="3">
        <v>2369228</v>
      </c>
      <c r="J832">
        <v>638</v>
      </c>
      <c r="K832" t="s">
        <v>20</v>
      </c>
      <c r="L832" t="s">
        <v>21</v>
      </c>
      <c r="M832">
        <v>8</v>
      </c>
      <c r="N832" s="3">
        <v>8799.9</v>
      </c>
      <c r="O832" t="s">
        <v>22</v>
      </c>
    </row>
    <row r="833" spans="1:15" x14ac:dyDescent="0.2">
      <c r="A833" t="s">
        <v>1191</v>
      </c>
      <c r="B833" t="s">
        <v>388</v>
      </c>
      <c r="C833">
        <v>45</v>
      </c>
      <c r="D833" t="s">
        <v>70</v>
      </c>
      <c r="E833" t="s">
        <v>56</v>
      </c>
      <c r="F833" t="s">
        <v>27</v>
      </c>
      <c r="G833" s="2">
        <v>46204</v>
      </c>
      <c r="H833" t="s">
        <v>52</v>
      </c>
      <c r="I833" s="3">
        <v>456384</v>
      </c>
      <c r="J833">
        <v>637</v>
      </c>
      <c r="K833" t="s">
        <v>67</v>
      </c>
      <c r="L833" t="s">
        <v>21</v>
      </c>
      <c r="M833">
        <v>86</v>
      </c>
      <c r="N833" s="3">
        <v>12349.21</v>
      </c>
      <c r="O833" t="s">
        <v>22</v>
      </c>
    </row>
    <row r="834" spans="1:15" x14ac:dyDescent="0.2">
      <c r="A834" t="s">
        <v>1192</v>
      </c>
      <c r="B834" t="s">
        <v>455</v>
      </c>
      <c r="C834">
        <v>53</v>
      </c>
      <c r="D834" t="s">
        <v>55</v>
      </c>
      <c r="E834" t="s">
        <v>26</v>
      </c>
      <c r="F834" t="s">
        <v>100</v>
      </c>
      <c r="G834" s="2">
        <v>46170</v>
      </c>
      <c r="H834" t="s">
        <v>33</v>
      </c>
      <c r="I834" s="3">
        <v>3777089</v>
      </c>
      <c r="J834">
        <v>719</v>
      </c>
      <c r="K834" t="s">
        <v>86</v>
      </c>
      <c r="L834" t="s">
        <v>21</v>
      </c>
      <c r="M834">
        <v>25</v>
      </c>
      <c r="N834" s="3">
        <v>17409.12</v>
      </c>
      <c r="O834" t="s">
        <v>22</v>
      </c>
    </row>
    <row r="835" spans="1:15" x14ac:dyDescent="0.2">
      <c r="A835" t="s">
        <v>1193</v>
      </c>
      <c r="B835" t="s">
        <v>800</v>
      </c>
      <c r="C835">
        <v>27</v>
      </c>
      <c r="D835" t="s">
        <v>89</v>
      </c>
      <c r="E835" t="s">
        <v>26</v>
      </c>
      <c r="F835" t="s">
        <v>27</v>
      </c>
      <c r="G835" s="2">
        <v>45953</v>
      </c>
      <c r="H835" t="s">
        <v>33</v>
      </c>
      <c r="I835" s="3">
        <v>4385554</v>
      </c>
      <c r="J835">
        <v>755</v>
      </c>
      <c r="K835" t="s">
        <v>86</v>
      </c>
      <c r="L835" t="s">
        <v>30</v>
      </c>
      <c r="M835">
        <v>66</v>
      </c>
      <c r="N835" s="3">
        <v>20940.87</v>
      </c>
      <c r="O835" t="s">
        <v>22</v>
      </c>
    </row>
    <row r="836" spans="1:15" x14ac:dyDescent="0.2">
      <c r="A836" t="s">
        <v>1194</v>
      </c>
      <c r="B836" t="s">
        <v>746</v>
      </c>
      <c r="C836">
        <v>32</v>
      </c>
      <c r="D836" t="s">
        <v>25</v>
      </c>
      <c r="E836" t="s">
        <v>26</v>
      </c>
      <c r="F836" t="s">
        <v>43</v>
      </c>
      <c r="G836" s="2">
        <v>45977</v>
      </c>
      <c r="H836" t="s">
        <v>28</v>
      </c>
      <c r="I836" s="3">
        <v>3238088</v>
      </c>
      <c r="J836">
        <v>687</v>
      </c>
      <c r="K836" t="s">
        <v>92</v>
      </c>
      <c r="L836" t="s">
        <v>38</v>
      </c>
      <c r="M836">
        <v>115</v>
      </c>
      <c r="N836" s="3">
        <v>6473.11</v>
      </c>
      <c r="O836" t="s">
        <v>22</v>
      </c>
    </row>
    <row r="837" spans="1:15" x14ac:dyDescent="0.2">
      <c r="A837" t="s">
        <v>1195</v>
      </c>
      <c r="B837" t="s">
        <v>744</v>
      </c>
      <c r="C837">
        <v>36</v>
      </c>
      <c r="D837" t="s">
        <v>51</v>
      </c>
      <c r="E837" t="s">
        <v>17</v>
      </c>
      <c r="F837" t="s">
        <v>27</v>
      </c>
      <c r="G837" s="2">
        <v>46229</v>
      </c>
      <c r="H837" t="s">
        <v>33</v>
      </c>
      <c r="I837" s="3">
        <v>1229907</v>
      </c>
      <c r="J837">
        <v>790</v>
      </c>
      <c r="K837" t="s">
        <v>67</v>
      </c>
      <c r="L837" t="s">
        <v>21</v>
      </c>
      <c r="M837">
        <v>73</v>
      </c>
      <c r="N837" s="3">
        <v>7715.36</v>
      </c>
      <c r="O837" t="s">
        <v>22</v>
      </c>
    </row>
    <row r="838" spans="1:15" x14ac:dyDescent="0.2">
      <c r="A838" t="s">
        <v>1196</v>
      </c>
      <c r="B838" t="s">
        <v>296</v>
      </c>
      <c r="C838">
        <v>36</v>
      </c>
      <c r="D838" t="s">
        <v>89</v>
      </c>
      <c r="E838" t="s">
        <v>83</v>
      </c>
      <c r="F838" t="s">
        <v>27</v>
      </c>
      <c r="G838" s="2">
        <v>46006</v>
      </c>
      <c r="H838" t="s">
        <v>28</v>
      </c>
      <c r="I838" s="3">
        <v>463968</v>
      </c>
      <c r="J838">
        <v>653</v>
      </c>
      <c r="K838" t="s">
        <v>78</v>
      </c>
      <c r="L838" t="s">
        <v>38</v>
      </c>
      <c r="M838">
        <v>73</v>
      </c>
      <c r="N838" s="3">
        <v>10738.8</v>
      </c>
      <c r="O838" t="s">
        <v>22</v>
      </c>
    </row>
    <row r="839" spans="1:15" x14ac:dyDescent="0.2">
      <c r="A839" t="s">
        <v>1197</v>
      </c>
      <c r="B839" t="s">
        <v>1139</v>
      </c>
      <c r="C839">
        <v>63</v>
      </c>
      <c r="D839" t="s">
        <v>48</v>
      </c>
      <c r="E839" t="s">
        <v>17</v>
      </c>
      <c r="F839" t="s">
        <v>27</v>
      </c>
      <c r="G839" s="2">
        <v>45886</v>
      </c>
      <c r="H839" t="s">
        <v>33</v>
      </c>
      <c r="I839" s="3">
        <v>544957</v>
      </c>
      <c r="J839">
        <v>746</v>
      </c>
      <c r="K839" t="s">
        <v>86</v>
      </c>
      <c r="L839" t="s">
        <v>21</v>
      </c>
      <c r="M839">
        <v>77</v>
      </c>
      <c r="N839" s="3">
        <v>7391.61</v>
      </c>
      <c r="O839" t="s">
        <v>22</v>
      </c>
    </row>
    <row r="840" spans="1:15" x14ac:dyDescent="0.2">
      <c r="A840" t="s">
        <v>1198</v>
      </c>
      <c r="B840" t="s">
        <v>484</v>
      </c>
      <c r="C840">
        <v>56</v>
      </c>
      <c r="D840" t="s">
        <v>55</v>
      </c>
      <c r="E840" t="s">
        <v>26</v>
      </c>
      <c r="F840" t="s">
        <v>100</v>
      </c>
      <c r="G840" s="2">
        <v>45927</v>
      </c>
      <c r="H840" t="s">
        <v>28</v>
      </c>
      <c r="I840" s="3">
        <v>2151737</v>
      </c>
      <c r="J840">
        <v>812</v>
      </c>
      <c r="K840" t="s">
        <v>67</v>
      </c>
      <c r="L840" t="s">
        <v>58</v>
      </c>
      <c r="M840">
        <v>70</v>
      </c>
      <c r="N840" s="3">
        <v>22380.23</v>
      </c>
      <c r="O840" t="s">
        <v>39</v>
      </c>
    </row>
    <row r="841" spans="1:15" x14ac:dyDescent="0.2">
      <c r="A841" t="s">
        <v>1199</v>
      </c>
      <c r="B841" t="s">
        <v>169</v>
      </c>
      <c r="C841">
        <v>33</v>
      </c>
      <c r="D841" t="s">
        <v>89</v>
      </c>
      <c r="E841" t="s">
        <v>56</v>
      </c>
      <c r="F841" t="s">
        <v>27</v>
      </c>
      <c r="G841" s="2">
        <v>45948</v>
      </c>
      <c r="H841" t="s">
        <v>28</v>
      </c>
      <c r="I841" s="3">
        <v>2597855</v>
      </c>
      <c r="J841">
        <v>761</v>
      </c>
      <c r="K841" t="s">
        <v>20</v>
      </c>
      <c r="L841" t="s">
        <v>38</v>
      </c>
      <c r="M841">
        <v>94</v>
      </c>
      <c r="N841" s="3">
        <v>32490.03</v>
      </c>
      <c r="O841" t="s">
        <v>22</v>
      </c>
    </row>
    <row r="842" spans="1:15" x14ac:dyDescent="0.2">
      <c r="A842" t="s">
        <v>1200</v>
      </c>
      <c r="B842" t="s">
        <v>809</v>
      </c>
      <c r="C842">
        <v>27</v>
      </c>
      <c r="D842" t="s">
        <v>89</v>
      </c>
      <c r="E842" t="s">
        <v>83</v>
      </c>
      <c r="F842" t="s">
        <v>43</v>
      </c>
      <c r="G842" s="2">
        <v>45822</v>
      </c>
      <c r="H842" t="s">
        <v>28</v>
      </c>
      <c r="I842" s="3">
        <v>1714458</v>
      </c>
      <c r="J842">
        <v>701</v>
      </c>
      <c r="K842" t="s">
        <v>29</v>
      </c>
      <c r="L842" t="s">
        <v>45</v>
      </c>
      <c r="M842">
        <v>79</v>
      </c>
      <c r="N842" s="3">
        <v>12852.29</v>
      </c>
      <c r="O842" t="s">
        <v>22</v>
      </c>
    </row>
    <row r="843" spans="1:15" x14ac:dyDescent="0.2">
      <c r="A843" t="s">
        <v>1201</v>
      </c>
      <c r="B843" t="s">
        <v>668</v>
      </c>
      <c r="C843">
        <v>56</v>
      </c>
      <c r="D843" t="s">
        <v>25</v>
      </c>
      <c r="E843" t="s">
        <v>26</v>
      </c>
      <c r="F843" t="s">
        <v>27</v>
      </c>
      <c r="G843" s="2">
        <v>45662</v>
      </c>
      <c r="H843" t="s">
        <v>19</v>
      </c>
      <c r="I843" s="3">
        <v>2552743</v>
      </c>
      <c r="J843">
        <v>782</v>
      </c>
      <c r="K843" t="s">
        <v>67</v>
      </c>
      <c r="L843" t="s">
        <v>30</v>
      </c>
      <c r="M843">
        <v>51</v>
      </c>
      <c r="N843" s="3">
        <v>3450.93</v>
      </c>
      <c r="O843" t="s">
        <v>22</v>
      </c>
    </row>
    <row r="844" spans="1:15" x14ac:dyDescent="0.2">
      <c r="A844" t="s">
        <v>1202</v>
      </c>
      <c r="B844" t="s">
        <v>445</v>
      </c>
      <c r="C844">
        <v>67</v>
      </c>
      <c r="D844" t="s">
        <v>75</v>
      </c>
      <c r="E844" t="s">
        <v>83</v>
      </c>
      <c r="F844" t="s">
        <v>27</v>
      </c>
      <c r="G844" s="2">
        <v>46036</v>
      </c>
      <c r="H844" t="s">
        <v>28</v>
      </c>
      <c r="I844" s="3">
        <v>1235461</v>
      </c>
      <c r="J844">
        <v>608</v>
      </c>
      <c r="K844" t="s">
        <v>20</v>
      </c>
      <c r="L844" t="s">
        <v>45</v>
      </c>
      <c r="M844">
        <v>53</v>
      </c>
      <c r="N844" s="3">
        <v>15272.68</v>
      </c>
      <c r="O844" t="s">
        <v>22</v>
      </c>
    </row>
    <row r="845" spans="1:15" x14ac:dyDescent="0.2">
      <c r="A845" t="s">
        <v>1203</v>
      </c>
      <c r="B845" t="s">
        <v>403</v>
      </c>
      <c r="C845">
        <v>29</v>
      </c>
      <c r="D845" t="s">
        <v>55</v>
      </c>
      <c r="E845" t="s">
        <v>26</v>
      </c>
      <c r="F845" t="s">
        <v>27</v>
      </c>
      <c r="G845" s="2">
        <v>45735</v>
      </c>
      <c r="H845" t="s">
        <v>28</v>
      </c>
      <c r="I845" s="3">
        <v>2871021</v>
      </c>
      <c r="J845">
        <v>781</v>
      </c>
      <c r="K845" t="s">
        <v>92</v>
      </c>
      <c r="L845" t="s">
        <v>38</v>
      </c>
      <c r="M845">
        <v>15</v>
      </c>
      <c r="N845" s="3">
        <v>13398.31</v>
      </c>
      <c r="O845" t="s">
        <v>22</v>
      </c>
    </row>
    <row r="846" spans="1:15" x14ac:dyDescent="0.2">
      <c r="A846" t="s">
        <v>1204</v>
      </c>
      <c r="B846" t="s">
        <v>951</v>
      </c>
      <c r="C846">
        <v>52</v>
      </c>
      <c r="D846" t="s">
        <v>51</v>
      </c>
      <c r="E846" t="s">
        <v>56</v>
      </c>
      <c r="F846" t="s">
        <v>43</v>
      </c>
      <c r="G846" s="2">
        <v>46067</v>
      </c>
      <c r="H846" t="s">
        <v>28</v>
      </c>
      <c r="I846" s="3">
        <v>3605361</v>
      </c>
      <c r="J846">
        <v>672</v>
      </c>
      <c r="K846" t="s">
        <v>92</v>
      </c>
      <c r="L846" t="s">
        <v>21</v>
      </c>
      <c r="M846">
        <v>50</v>
      </c>
      <c r="N846" s="3">
        <v>3160.09</v>
      </c>
      <c r="O846" t="s">
        <v>22</v>
      </c>
    </row>
    <row r="847" spans="1:15" x14ac:dyDescent="0.2">
      <c r="A847" t="s">
        <v>1205</v>
      </c>
      <c r="B847" t="s">
        <v>171</v>
      </c>
      <c r="C847">
        <v>31</v>
      </c>
      <c r="D847" t="s">
        <v>48</v>
      </c>
      <c r="E847" t="s">
        <v>26</v>
      </c>
      <c r="F847" t="s">
        <v>27</v>
      </c>
      <c r="G847" s="2">
        <v>46231</v>
      </c>
      <c r="H847" t="s">
        <v>28</v>
      </c>
      <c r="I847" s="3">
        <v>2056423</v>
      </c>
      <c r="J847">
        <v>755</v>
      </c>
      <c r="K847" t="s">
        <v>57</v>
      </c>
      <c r="L847" t="s">
        <v>38</v>
      </c>
      <c r="M847">
        <v>71</v>
      </c>
      <c r="N847" s="3">
        <v>13382.86</v>
      </c>
      <c r="O847" t="s">
        <v>22</v>
      </c>
    </row>
    <row r="848" spans="1:15" x14ac:dyDescent="0.2">
      <c r="A848" t="s">
        <v>1206</v>
      </c>
      <c r="B848" t="s">
        <v>96</v>
      </c>
      <c r="C848">
        <v>28</v>
      </c>
      <c r="D848" t="s">
        <v>55</v>
      </c>
      <c r="E848" t="s">
        <v>26</v>
      </c>
      <c r="F848" t="s">
        <v>27</v>
      </c>
      <c r="G848" s="2">
        <v>45789</v>
      </c>
      <c r="H848" t="s">
        <v>52</v>
      </c>
      <c r="I848" s="3">
        <v>2200408</v>
      </c>
      <c r="J848">
        <v>790</v>
      </c>
      <c r="K848" t="s">
        <v>34</v>
      </c>
      <c r="L848" t="s">
        <v>30</v>
      </c>
      <c r="M848">
        <v>75</v>
      </c>
      <c r="N848" s="3">
        <v>5057.3599999999997</v>
      </c>
      <c r="O848" t="s">
        <v>22</v>
      </c>
    </row>
    <row r="849" spans="1:15" x14ac:dyDescent="0.2">
      <c r="A849" t="s">
        <v>1207</v>
      </c>
      <c r="B849" t="s">
        <v>1062</v>
      </c>
      <c r="C849">
        <v>53</v>
      </c>
      <c r="D849" t="s">
        <v>37</v>
      </c>
      <c r="E849" t="s">
        <v>26</v>
      </c>
      <c r="F849" t="s">
        <v>27</v>
      </c>
      <c r="G849" s="2">
        <v>46258</v>
      </c>
      <c r="H849" t="s">
        <v>33</v>
      </c>
      <c r="I849" s="3">
        <v>877915</v>
      </c>
      <c r="J849">
        <v>763</v>
      </c>
      <c r="K849" t="s">
        <v>86</v>
      </c>
      <c r="L849" t="s">
        <v>38</v>
      </c>
      <c r="M849">
        <v>104</v>
      </c>
      <c r="N849" s="3">
        <v>19602.23</v>
      </c>
      <c r="O849" t="s">
        <v>22</v>
      </c>
    </row>
    <row r="850" spans="1:15" x14ac:dyDescent="0.2">
      <c r="A850" t="s">
        <v>1208</v>
      </c>
      <c r="B850" t="s">
        <v>250</v>
      </c>
      <c r="C850">
        <v>43</v>
      </c>
      <c r="D850" t="s">
        <v>128</v>
      </c>
      <c r="E850" t="s">
        <v>17</v>
      </c>
      <c r="F850" t="s">
        <v>27</v>
      </c>
      <c r="G850" s="2">
        <v>45699</v>
      </c>
      <c r="H850" t="s">
        <v>28</v>
      </c>
      <c r="I850" s="3">
        <v>3844128</v>
      </c>
      <c r="J850">
        <v>674</v>
      </c>
      <c r="K850" t="s">
        <v>34</v>
      </c>
      <c r="L850" t="s">
        <v>21</v>
      </c>
      <c r="M850">
        <v>38</v>
      </c>
      <c r="N850" s="3">
        <v>15142.85</v>
      </c>
      <c r="O850" t="s">
        <v>22</v>
      </c>
    </row>
    <row r="851" spans="1:15" x14ac:dyDescent="0.2">
      <c r="A851" t="s">
        <v>1209</v>
      </c>
      <c r="B851" t="s">
        <v>96</v>
      </c>
      <c r="C851">
        <v>45</v>
      </c>
      <c r="D851" t="s">
        <v>37</v>
      </c>
      <c r="E851" t="s">
        <v>26</v>
      </c>
      <c r="F851" t="s">
        <v>100</v>
      </c>
      <c r="G851" s="2">
        <v>45746</v>
      </c>
      <c r="H851" t="s">
        <v>28</v>
      </c>
      <c r="I851" s="3">
        <v>1426957</v>
      </c>
      <c r="J851">
        <v>716</v>
      </c>
      <c r="K851" t="s">
        <v>67</v>
      </c>
      <c r="L851" t="s">
        <v>45</v>
      </c>
      <c r="M851">
        <v>40</v>
      </c>
      <c r="N851" s="3">
        <v>11317.84</v>
      </c>
      <c r="O851" t="s">
        <v>22</v>
      </c>
    </row>
    <row r="852" spans="1:15" x14ac:dyDescent="0.2">
      <c r="A852" t="s">
        <v>1210</v>
      </c>
      <c r="B852" t="s">
        <v>152</v>
      </c>
      <c r="C852">
        <v>28</v>
      </c>
      <c r="D852" t="s">
        <v>75</v>
      </c>
      <c r="E852" t="s">
        <v>26</v>
      </c>
      <c r="F852" t="s">
        <v>100</v>
      </c>
      <c r="G852" s="2">
        <v>46059</v>
      </c>
      <c r="H852" t="s">
        <v>52</v>
      </c>
      <c r="I852" s="3">
        <v>1656427</v>
      </c>
      <c r="J852">
        <v>816</v>
      </c>
      <c r="K852" t="s">
        <v>34</v>
      </c>
      <c r="L852" t="s">
        <v>58</v>
      </c>
      <c r="M852">
        <v>66</v>
      </c>
      <c r="N852" s="3">
        <v>9325.18</v>
      </c>
      <c r="O852" t="s">
        <v>22</v>
      </c>
    </row>
    <row r="853" spans="1:15" x14ac:dyDescent="0.2">
      <c r="A853" t="s">
        <v>1211</v>
      </c>
      <c r="B853" t="s">
        <v>822</v>
      </c>
      <c r="C853">
        <v>65</v>
      </c>
      <c r="D853" t="s">
        <v>128</v>
      </c>
      <c r="E853" t="s">
        <v>17</v>
      </c>
      <c r="F853" t="s">
        <v>27</v>
      </c>
      <c r="G853" s="2">
        <v>45953</v>
      </c>
      <c r="H853" t="s">
        <v>28</v>
      </c>
      <c r="I853" s="3">
        <v>3739550</v>
      </c>
      <c r="J853">
        <v>844</v>
      </c>
      <c r="K853" t="s">
        <v>86</v>
      </c>
      <c r="L853" t="s">
        <v>45</v>
      </c>
      <c r="M853">
        <v>115</v>
      </c>
      <c r="N853" s="3">
        <v>953.33</v>
      </c>
      <c r="O853" t="s">
        <v>22</v>
      </c>
    </row>
    <row r="854" spans="1:15" x14ac:dyDescent="0.2">
      <c r="A854" t="s">
        <v>1212</v>
      </c>
      <c r="B854" t="s">
        <v>1113</v>
      </c>
      <c r="C854">
        <v>42</v>
      </c>
      <c r="D854" t="s">
        <v>48</v>
      </c>
      <c r="E854" t="s">
        <v>56</v>
      </c>
      <c r="F854" t="s">
        <v>43</v>
      </c>
      <c r="G854" s="2">
        <v>45952</v>
      </c>
      <c r="H854" t="s">
        <v>28</v>
      </c>
      <c r="I854" s="3">
        <v>4145090</v>
      </c>
      <c r="J854">
        <v>714</v>
      </c>
      <c r="K854" t="s">
        <v>86</v>
      </c>
      <c r="M854">
        <v>112</v>
      </c>
      <c r="N854" s="3">
        <v>2502.41</v>
      </c>
      <c r="O854" t="s">
        <v>22</v>
      </c>
    </row>
    <row r="855" spans="1:15" x14ac:dyDescent="0.2">
      <c r="A855" t="s">
        <v>1213</v>
      </c>
      <c r="B855" t="s">
        <v>614</v>
      </c>
      <c r="C855">
        <v>24</v>
      </c>
      <c r="D855" t="s">
        <v>25</v>
      </c>
      <c r="E855" t="s">
        <v>26</v>
      </c>
      <c r="F855" t="s">
        <v>100</v>
      </c>
      <c r="G855" s="2">
        <v>46183</v>
      </c>
      <c r="H855" t="s">
        <v>28</v>
      </c>
      <c r="I855" s="3">
        <v>2095786</v>
      </c>
      <c r="J855">
        <v>723</v>
      </c>
      <c r="K855" t="s">
        <v>67</v>
      </c>
      <c r="L855" t="s">
        <v>21</v>
      </c>
      <c r="M855">
        <v>39</v>
      </c>
      <c r="N855" s="3">
        <v>7806.08</v>
      </c>
      <c r="O855" t="s">
        <v>22</v>
      </c>
    </row>
    <row r="856" spans="1:15" x14ac:dyDescent="0.2">
      <c r="A856" t="s">
        <v>1214</v>
      </c>
      <c r="B856" t="s">
        <v>672</v>
      </c>
      <c r="C856">
        <v>60</v>
      </c>
      <c r="D856" t="s">
        <v>25</v>
      </c>
      <c r="E856" t="s">
        <v>26</v>
      </c>
      <c r="F856" t="s">
        <v>27</v>
      </c>
      <c r="G856" s="2">
        <v>46079</v>
      </c>
      <c r="H856" t="s">
        <v>28</v>
      </c>
      <c r="I856" s="3">
        <v>3015013</v>
      </c>
      <c r="J856">
        <v>598</v>
      </c>
      <c r="K856" t="s">
        <v>92</v>
      </c>
      <c r="L856" t="s">
        <v>30</v>
      </c>
      <c r="M856">
        <v>74</v>
      </c>
      <c r="N856" s="3">
        <v>44150.2</v>
      </c>
      <c r="O856" t="s">
        <v>39</v>
      </c>
    </row>
    <row r="857" spans="1:15" x14ac:dyDescent="0.2">
      <c r="A857" t="s">
        <v>1215</v>
      </c>
      <c r="B857" t="s">
        <v>596</v>
      </c>
      <c r="C857">
        <v>23</v>
      </c>
      <c r="D857" t="s">
        <v>48</v>
      </c>
      <c r="E857" t="s">
        <v>26</v>
      </c>
      <c r="F857" t="s">
        <v>18</v>
      </c>
      <c r="G857" s="2">
        <v>45680</v>
      </c>
      <c r="H857" t="s">
        <v>28</v>
      </c>
      <c r="I857" s="3">
        <v>286382</v>
      </c>
      <c r="J857">
        <v>810</v>
      </c>
      <c r="K857" t="s">
        <v>86</v>
      </c>
      <c r="L857" t="s">
        <v>38</v>
      </c>
      <c r="M857">
        <v>108</v>
      </c>
      <c r="N857" s="3">
        <v>16202.41</v>
      </c>
      <c r="O857" t="s">
        <v>22</v>
      </c>
    </row>
    <row r="858" spans="1:15" x14ac:dyDescent="0.2">
      <c r="A858" t="s">
        <v>1216</v>
      </c>
      <c r="B858" t="s">
        <v>146</v>
      </c>
      <c r="C858">
        <v>49</v>
      </c>
      <c r="D858" t="s">
        <v>105</v>
      </c>
      <c r="E858" t="s">
        <v>26</v>
      </c>
      <c r="F858" t="s">
        <v>100</v>
      </c>
      <c r="G858" s="2">
        <v>46232</v>
      </c>
      <c r="H858" t="s">
        <v>33</v>
      </c>
      <c r="I858" s="3">
        <v>1112219</v>
      </c>
      <c r="J858">
        <v>713</v>
      </c>
      <c r="K858" t="s">
        <v>78</v>
      </c>
      <c r="L858" t="s">
        <v>38</v>
      </c>
      <c r="M858">
        <v>17</v>
      </c>
      <c r="N858" s="3">
        <v>60159.14</v>
      </c>
      <c r="O858" t="s">
        <v>39</v>
      </c>
    </row>
    <row r="859" spans="1:15" x14ac:dyDescent="0.2">
      <c r="A859" t="s">
        <v>1217</v>
      </c>
      <c r="B859" t="s">
        <v>706</v>
      </c>
      <c r="C859">
        <v>61</v>
      </c>
      <c r="D859" t="s">
        <v>48</v>
      </c>
      <c r="E859" t="s">
        <v>56</v>
      </c>
      <c r="F859" t="s">
        <v>27</v>
      </c>
      <c r="G859" s="2">
        <v>45800</v>
      </c>
      <c r="H859" t="s">
        <v>33</v>
      </c>
      <c r="I859" s="3">
        <v>1968303</v>
      </c>
      <c r="J859">
        <v>693</v>
      </c>
      <c r="K859" t="s">
        <v>78</v>
      </c>
      <c r="L859" t="s">
        <v>45</v>
      </c>
      <c r="M859">
        <v>7</v>
      </c>
      <c r="N859" s="3">
        <v>9770.6299999999992</v>
      </c>
      <c r="O859" t="s">
        <v>22</v>
      </c>
    </row>
    <row r="860" spans="1:15" x14ac:dyDescent="0.2">
      <c r="A860" t="s">
        <v>1218</v>
      </c>
      <c r="B860" t="s">
        <v>1219</v>
      </c>
      <c r="C860">
        <v>49</v>
      </c>
      <c r="D860" t="s">
        <v>37</v>
      </c>
      <c r="E860" t="s">
        <v>56</v>
      </c>
      <c r="F860" t="s">
        <v>27</v>
      </c>
      <c r="G860" s="2">
        <v>45802</v>
      </c>
      <c r="H860" t="s">
        <v>44</v>
      </c>
      <c r="I860" s="3">
        <v>4302127</v>
      </c>
      <c r="J860">
        <v>718</v>
      </c>
      <c r="K860" t="s">
        <v>29</v>
      </c>
      <c r="L860" t="s">
        <v>58</v>
      </c>
      <c r="M860">
        <v>118</v>
      </c>
      <c r="N860" s="3">
        <v>8669.85</v>
      </c>
      <c r="O860" t="s">
        <v>22</v>
      </c>
    </row>
    <row r="861" spans="1:15" x14ac:dyDescent="0.2">
      <c r="A861" t="s">
        <v>1220</v>
      </c>
      <c r="B861" t="s">
        <v>904</v>
      </c>
      <c r="C861">
        <v>54</v>
      </c>
      <c r="D861" t="s">
        <v>75</v>
      </c>
      <c r="E861" t="s">
        <v>17</v>
      </c>
      <c r="F861" t="s">
        <v>100</v>
      </c>
      <c r="G861" s="2">
        <v>45882</v>
      </c>
      <c r="H861" t="s">
        <v>28</v>
      </c>
      <c r="I861" s="3">
        <v>1524856</v>
      </c>
      <c r="J861">
        <v>704</v>
      </c>
      <c r="K861" t="s">
        <v>86</v>
      </c>
      <c r="L861" t="s">
        <v>58</v>
      </c>
      <c r="M861">
        <v>104</v>
      </c>
      <c r="N861" s="3">
        <v>39989.870000000003</v>
      </c>
      <c r="O861" t="s">
        <v>39</v>
      </c>
    </row>
    <row r="862" spans="1:15" x14ac:dyDescent="0.2">
      <c r="A862" t="s">
        <v>1221</v>
      </c>
      <c r="B862" t="s">
        <v>807</v>
      </c>
      <c r="C862">
        <v>54</v>
      </c>
      <c r="D862" t="s">
        <v>16</v>
      </c>
      <c r="E862" t="s">
        <v>26</v>
      </c>
      <c r="F862" t="s">
        <v>43</v>
      </c>
      <c r="G862" s="2">
        <v>46160</v>
      </c>
      <c r="H862" t="s">
        <v>28</v>
      </c>
      <c r="I862" s="3">
        <v>4051082</v>
      </c>
      <c r="J862">
        <v>783</v>
      </c>
      <c r="K862" t="s">
        <v>57</v>
      </c>
      <c r="L862" t="s">
        <v>30</v>
      </c>
      <c r="M862">
        <v>39</v>
      </c>
      <c r="N862" s="3">
        <v>7576.64</v>
      </c>
      <c r="O862" t="s">
        <v>22</v>
      </c>
    </row>
    <row r="863" spans="1:15" x14ac:dyDescent="0.2">
      <c r="A863" t="s">
        <v>1222</v>
      </c>
      <c r="B863" t="s">
        <v>771</v>
      </c>
      <c r="C863">
        <v>48</v>
      </c>
      <c r="D863" t="s">
        <v>25</v>
      </c>
      <c r="E863" t="s">
        <v>56</v>
      </c>
      <c r="F863" t="s">
        <v>27</v>
      </c>
      <c r="G863" s="2">
        <v>45761</v>
      </c>
      <c r="H863" t="s">
        <v>28</v>
      </c>
      <c r="I863" s="3">
        <v>3596668</v>
      </c>
      <c r="J863">
        <v>640</v>
      </c>
      <c r="K863" t="s">
        <v>29</v>
      </c>
      <c r="L863" t="s">
        <v>21</v>
      </c>
      <c r="M863">
        <v>68</v>
      </c>
      <c r="N863" s="3">
        <v>3178.63</v>
      </c>
      <c r="O863" t="s">
        <v>22</v>
      </c>
    </row>
    <row r="864" spans="1:15" x14ac:dyDescent="0.2">
      <c r="A864" t="s">
        <v>1223</v>
      </c>
      <c r="B864" t="s">
        <v>213</v>
      </c>
      <c r="C864">
        <v>33</v>
      </c>
      <c r="D864" t="s">
        <v>42</v>
      </c>
      <c r="E864" t="s">
        <v>17</v>
      </c>
      <c r="F864" t="s">
        <v>27</v>
      </c>
      <c r="G864" s="2">
        <v>45696</v>
      </c>
      <c r="H864" t="s">
        <v>19</v>
      </c>
      <c r="I864" s="3">
        <v>4179268</v>
      </c>
      <c r="J864">
        <v>829</v>
      </c>
      <c r="K864" t="s">
        <v>92</v>
      </c>
      <c r="L864" t="s">
        <v>30</v>
      </c>
      <c r="M864">
        <v>35</v>
      </c>
      <c r="N864" s="3">
        <v>12488.85</v>
      </c>
      <c r="O864" t="s">
        <v>22</v>
      </c>
    </row>
    <row r="865" spans="1:15" x14ac:dyDescent="0.2">
      <c r="A865" t="s">
        <v>1224</v>
      </c>
      <c r="B865" t="s">
        <v>332</v>
      </c>
      <c r="C865">
        <v>35</v>
      </c>
      <c r="D865" t="s">
        <v>75</v>
      </c>
      <c r="E865" t="s">
        <v>56</v>
      </c>
      <c r="F865" t="s">
        <v>27</v>
      </c>
      <c r="G865" s="2">
        <v>45855</v>
      </c>
      <c r="H865" t="s">
        <v>33</v>
      </c>
      <c r="I865" s="3">
        <v>2957260</v>
      </c>
      <c r="J865">
        <v>592</v>
      </c>
      <c r="K865" t="s">
        <v>86</v>
      </c>
      <c r="L865" t="s">
        <v>38</v>
      </c>
      <c r="M865">
        <v>51</v>
      </c>
      <c r="N865" s="3">
        <v>29104.26</v>
      </c>
      <c r="O865" t="s">
        <v>22</v>
      </c>
    </row>
    <row r="866" spans="1:15" x14ac:dyDescent="0.2">
      <c r="A866" t="s">
        <v>1225</v>
      </c>
      <c r="B866" t="s">
        <v>250</v>
      </c>
      <c r="C866">
        <v>43</v>
      </c>
      <c r="D866" t="s">
        <v>70</v>
      </c>
      <c r="E866" t="s">
        <v>17</v>
      </c>
      <c r="F866" t="s">
        <v>18</v>
      </c>
      <c r="G866" s="2">
        <v>46236</v>
      </c>
      <c r="H866" t="s">
        <v>52</v>
      </c>
      <c r="I866" s="3">
        <v>3455677</v>
      </c>
      <c r="J866">
        <v>834</v>
      </c>
      <c r="K866" t="s">
        <v>78</v>
      </c>
      <c r="L866" t="s">
        <v>21</v>
      </c>
      <c r="M866">
        <v>47</v>
      </c>
      <c r="N866" s="3">
        <v>3762.18</v>
      </c>
      <c r="O866" t="s">
        <v>22</v>
      </c>
    </row>
    <row r="867" spans="1:15" x14ac:dyDescent="0.2">
      <c r="A867" t="s">
        <v>1226</v>
      </c>
      <c r="B867" t="s">
        <v>238</v>
      </c>
      <c r="C867">
        <v>64</v>
      </c>
      <c r="D867" t="s">
        <v>75</v>
      </c>
      <c r="E867" t="s">
        <v>56</v>
      </c>
      <c r="F867" t="s">
        <v>18</v>
      </c>
      <c r="G867" s="2">
        <v>46048</v>
      </c>
      <c r="H867" t="s">
        <v>28</v>
      </c>
      <c r="I867" s="3">
        <v>2756068</v>
      </c>
      <c r="J867">
        <v>664</v>
      </c>
      <c r="K867" t="s">
        <v>57</v>
      </c>
      <c r="L867" t="s">
        <v>30</v>
      </c>
      <c r="M867">
        <v>36</v>
      </c>
      <c r="N867" s="3">
        <v>16622.22</v>
      </c>
      <c r="O867" t="s">
        <v>22</v>
      </c>
    </row>
    <row r="868" spans="1:15" x14ac:dyDescent="0.2">
      <c r="A868" t="s">
        <v>1227</v>
      </c>
      <c r="B868" t="s">
        <v>211</v>
      </c>
      <c r="C868">
        <v>46</v>
      </c>
      <c r="D868" t="s">
        <v>75</v>
      </c>
      <c r="E868" t="s">
        <v>17</v>
      </c>
      <c r="F868" t="s">
        <v>100</v>
      </c>
      <c r="G868" s="2">
        <v>45836</v>
      </c>
      <c r="H868" t="s">
        <v>28</v>
      </c>
      <c r="I868" s="3">
        <v>1885407</v>
      </c>
      <c r="J868">
        <v>599</v>
      </c>
      <c r="K868" t="s">
        <v>67</v>
      </c>
      <c r="L868" t="s">
        <v>45</v>
      </c>
      <c r="M868">
        <v>64</v>
      </c>
      <c r="N868" s="3">
        <v>8120.13</v>
      </c>
      <c r="O868" t="s">
        <v>22</v>
      </c>
    </row>
    <row r="869" spans="1:15" x14ac:dyDescent="0.2">
      <c r="A869" t="s">
        <v>1228</v>
      </c>
      <c r="B869" t="s">
        <v>809</v>
      </c>
      <c r="C869">
        <v>24</v>
      </c>
      <c r="D869" t="s">
        <v>89</v>
      </c>
      <c r="E869" t="s">
        <v>26</v>
      </c>
      <c r="F869" t="s">
        <v>27</v>
      </c>
      <c r="G869" s="2">
        <v>46211</v>
      </c>
      <c r="H869" t="s">
        <v>28</v>
      </c>
      <c r="I869" s="3">
        <v>4342550</v>
      </c>
      <c r="J869">
        <v>629</v>
      </c>
      <c r="K869" t="s">
        <v>29</v>
      </c>
      <c r="L869" t="s">
        <v>38</v>
      </c>
      <c r="M869">
        <v>95</v>
      </c>
      <c r="N869" s="3">
        <v>14384.65</v>
      </c>
      <c r="O869" t="s">
        <v>22</v>
      </c>
    </row>
    <row r="870" spans="1:15" x14ac:dyDescent="0.2">
      <c r="A870" t="s">
        <v>1229</v>
      </c>
      <c r="B870" t="s">
        <v>299</v>
      </c>
      <c r="C870">
        <v>46</v>
      </c>
      <c r="D870" t="s">
        <v>75</v>
      </c>
      <c r="E870" t="s">
        <v>83</v>
      </c>
      <c r="F870" t="s">
        <v>43</v>
      </c>
      <c r="G870" s="2">
        <v>46105</v>
      </c>
      <c r="H870" t="s">
        <v>33</v>
      </c>
      <c r="I870" s="3">
        <v>733075</v>
      </c>
      <c r="J870">
        <v>743</v>
      </c>
      <c r="K870" t="s">
        <v>57</v>
      </c>
      <c r="L870" t="s">
        <v>58</v>
      </c>
      <c r="M870">
        <v>89</v>
      </c>
      <c r="N870" s="3">
        <v>12446.7</v>
      </c>
      <c r="O870" t="s">
        <v>22</v>
      </c>
    </row>
    <row r="871" spans="1:15" x14ac:dyDescent="0.2">
      <c r="A871" t="s">
        <v>1230</v>
      </c>
      <c r="B871" t="s">
        <v>721</v>
      </c>
      <c r="C871">
        <v>60</v>
      </c>
      <c r="D871" t="s">
        <v>25</v>
      </c>
      <c r="E871" t="s">
        <v>17</v>
      </c>
      <c r="F871" t="s">
        <v>43</v>
      </c>
      <c r="G871" s="2">
        <v>46157</v>
      </c>
      <c r="H871" t="s">
        <v>44</v>
      </c>
      <c r="I871" s="3">
        <v>4209770</v>
      </c>
      <c r="J871">
        <v>671</v>
      </c>
      <c r="K871" t="s">
        <v>86</v>
      </c>
      <c r="L871" t="s">
        <v>30</v>
      </c>
      <c r="M871">
        <v>105</v>
      </c>
      <c r="N871" s="3">
        <v>5796.33</v>
      </c>
      <c r="O871" t="s">
        <v>22</v>
      </c>
    </row>
    <row r="872" spans="1:15" x14ac:dyDescent="0.2">
      <c r="A872" t="s">
        <v>1231</v>
      </c>
      <c r="B872" t="s">
        <v>489</v>
      </c>
      <c r="C872">
        <v>29</v>
      </c>
      <c r="D872" t="s">
        <v>16</v>
      </c>
      <c r="E872" t="s">
        <v>17</v>
      </c>
      <c r="F872" t="s">
        <v>27</v>
      </c>
      <c r="G872" s="2">
        <v>45672</v>
      </c>
      <c r="H872" t="s">
        <v>19</v>
      </c>
      <c r="I872" s="3">
        <v>2027310</v>
      </c>
      <c r="J872">
        <v>667</v>
      </c>
      <c r="K872" t="s">
        <v>20</v>
      </c>
      <c r="L872" t="s">
        <v>38</v>
      </c>
      <c r="M872">
        <v>13</v>
      </c>
      <c r="N872" s="3">
        <v>8010.45</v>
      </c>
      <c r="O872" t="s">
        <v>22</v>
      </c>
    </row>
    <row r="873" spans="1:15" x14ac:dyDescent="0.2">
      <c r="A873" t="s">
        <v>1232</v>
      </c>
      <c r="B873" t="s">
        <v>1047</v>
      </c>
      <c r="C873">
        <v>25</v>
      </c>
      <c r="D873" t="s">
        <v>16</v>
      </c>
      <c r="E873" t="s">
        <v>26</v>
      </c>
      <c r="F873" t="s">
        <v>27</v>
      </c>
      <c r="G873" s="2">
        <v>45946</v>
      </c>
      <c r="H873" t="s">
        <v>33</v>
      </c>
      <c r="I873" s="3">
        <v>577370</v>
      </c>
      <c r="J873">
        <v>648</v>
      </c>
      <c r="K873" t="s">
        <v>57</v>
      </c>
      <c r="L873" t="s">
        <v>38</v>
      </c>
      <c r="M873">
        <v>18</v>
      </c>
      <c r="N873" s="3">
        <v>6180.23</v>
      </c>
      <c r="O873" t="s">
        <v>22</v>
      </c>
    </row>
    <row r="874" spans="1:15" x14ac:dyDescent="0.2">
      <c r="A874" t="s">
        <v>1233</v>
      </c>
      <c r="B874" t="s">
        <v>1117</v>
      </c>
      <c r="C874">
        <v>52</v>
      </c>
      <c r="D874" t="s">
        <v>75</v>
      </c>
      <c r="E874" t="s">
        <v>17</v>
      </c>
      <c r="F874" t="s">
        <v>100</v>
      </c>
      <c r="G874" s="2">
        <v>46135</v>
      </c>
      <c r="H874" t="s">
        <v>28</v>
      </c>
      <c r="I874" s="3">
        <v>3178751</v>
      </c>
      <c r="J874">
        <v>616</v>
      </c>
      <c r="K874" t="s">
        <v>57</v>
      </c>
      <c r="L874" t="s">
        <v>58</v>
      </c>
      <c r="M874">
        <v>21</v>
      </c>
      <c r="N874" s="3">
        <v>10144.49</v>
      </c>
      <c r="O874" t="s">
        <v>22</v>
      </c>
    </row>
    <row r="875" spans="1:15" x14ac:dyDescent="0.2">
      <c r="A875" t="s">
        <v>1234</v>
      </c>
      <c r="B875" t="s">
        <v>460</v>
      </c>
      <c r="C875">
        <v>40</v>
      </c>
      <c r="D875" t="s">
        <v>70</v>
      </c>
      <c r="E875" t="s">
        <v>17</v>
      </c>
      <c r="F875" t="s">
        <v>18</v>
      </c>
      <c r="G875" s="2">
        <v>45888</v>
      </c>
      <c r="H875" t="s">
        <v>19</v>
      </c>
      <c r="I875" s="3">
        <v>2414533</v>
      </c>
      <c r="J875">
        <v>832</v>
      </c>
      <c r="K875" t="s">
        <v>92</v>
      </c>
      <c r="L875" t="s">
        <v>58</v>
      </c>
      <c r="M875">
        <v>112</v>
      </c>
      <c r="N875" s="3">
        <v>3683.42</v>
      </c>
      <c r="O875" t="s">
        <v>22</v>
      </c>
    </row>
    <row r="876" spans="1:15" x14ac:dyDescent="0.2">
      <c r="A876" t="s">
        <v>1235</v>
      </c>
      <c r="B876" t="s">
        <v>414</v>
      </c>
      <c r="C876">
        <v>70</v>
      </c>
      <c r="D876" t="s">
        <v>128</v>
      </c>
      <c r="E876" t="s">
        <v>26</v>
      </c>
      <c r="F876" t="s">
        <v>43</v>
      </c>
      <c r="G876" s="2">
        <v>46077</v>
      </c>
      <c r="H876" t="s">
        <v>33</v>
      </c>
      <c r="I876" s="3">
        <v>1083142</v>
      </c>
      <c r="J876">
        <v>831</v>
      </c>
      <c r="K876" t="s">
        <v>78</v>
      </c>
      <c r="L876" t="s">
        <v>58</v>
      </c>
      <c r="M876">
        <v>65</v>
      </c>
      <c r="N876" s="3">
        <v>4734.17</v>
      </c>
      <c r="O876" t="s">
        <v>22</v>
      </c>
    </row>
    <row r="877" spans="1:15" x14ac:dyDescent="0.2">
      <c r="A877" t="s">
        <v>1236</v>
      </c>
      <c r="B877" t="s">
        <v>666</v>
      </c>
      <c r="C877">
        <v>31</v>
      </c>
      <c r="D877" t="s">
        <v>25</v>
      </c>
      <c r="E877" t="s">
        <v>26</v>
      </c>
      <c r="F877" t="s">
        <v>43</v>
      </c>
      <c r="G877" s="2">
        <v>45814</v>
      </c>
      <c r="H877" t="s">
        <v>28</v>
      </c>
      <c r="I877" s="3">
        <v>3932796</v>
      </c>
      <c r="J877">
        <v>719</v>
      </c>
      <c r="K877" t="s">
        <v>67</v>
      </c>
      <c r="L877" t="s">
        <v>30</v>
      </c>
      <c r="M877">
        <v>100</v>
      </c>
      <c r="N877" s="3">
        <v>5798.42</v>
      </c>
      <c r="O877" t="s">
        <v>39</v>
      </c>
    </row>
    <row r="878" spans="1:15" x14ac:dyDescent="0.2">
      <c r="A878" t="s">
        <v>1237</v>
      </c>
      <c r="B878" t="s">
        <v>638</v>
      </c>
      <c r="C878">
        <v>35</v>
      </c>
      <c r="D878" t="s">
        <v>25</v>
      </c>
      <c r="E878" t="s">
        <v>17</v>
      </c>
      <c r="F878" t="s">
        <v>27</v>
      </c>
      <c r="G878" s="2">
        <v>46207</v>
      </c>
      <c r="H878" t="s">
        <v>28</v>
      </c>
      <c r="I878" s="3">
        <v>1092653</v>
      </c>
      <c r="J878">
        <v>747</v>
      </c>
      <c r="K878" t="s">
        <v>86</v>
      </c>
      <c r="L878" t="s">
        <v>58</v>
      </c>
      <c r="M878">
        <v>114</v>
      </c>
      <c r="N878" s="3">
        <v>13511.39</v>
      </c>
      <c r="O878" t="s">
        <v>22</v>
      </c>
    </row>
    <row r="879" spans="1:15" x14ac:dyDescent="0.2">
      <c r="A879" t="s">
        <v>1238</v>
      </c>
      <c r="B879" t="s">
        <v>489</v>
      </c>
      <c r="C879">
        <v>52</v>
      </c>
      <c r="D879" t="s">
        <v>70</v>
      </c>
      <c r="E879" t="s">
        <v>56</v>
      </c>
      <c r="F879" t="s">
        <v>43</v>
      </c>
      <c r="G879" s="2">
        <v>46098</v>
      </c>
      <c r="H879" t="s">
        <v>28</v>
      </c>
      <c r="I879" s="3">
        <v>2086517</v>
      </c>
      <c r="J879">
        <v>633</v>
      </c>
      <c r="K879" t="s">
        <v>57</v>
      </c>
      <c r="L879" t="s">
        <v>45</v>
      </c>
      <c r="M879">
        <v>8</v>
      </c>
      <c r="N879" s="3">
        <v>2025.74</v>
      </c>
      <c r="O879" t="s">
        <v>22</v>
      </c>
    </row>
    <row r="880" spans="1:15" x14ac:dyDescent="0.2">
      <c r="A880" t="s">
        <v>1239</v>
      </c>
      <c r="B880" t="s">
        <v>248</v>
      </c>
      <c r="C880">
        <v>48</v>
      </c>
      <c r="D880" t="s">
        <v>55</v>
      </c>
      <c r="E880" t="s">
        <v>17</v>
      </c>
      <c r="F880" t="s">
        <v>18</v>
      </c>
      <c r="G880" s="2">
        <v>45754</v>
      </c>
      <c r="H880" t="s">
        <v>28</v>
      </c>
      <c r="I880" s="3">
        <v>601637</v>
      </c>
      <c r="J880">
        <v>757</v>
      </c>
      <c r="K880" t="s">
        <v>86</v>
      </c>
      <c r="L880" t="s">
        <v>38</v>
      </c>
      <c r="M880">
        <v>116</v>
      </c>
      <c r="N880" s="3">
        <v>8002.54</v>
      </c>
      <c r="O880" t="s">
        <v>22</v>
      </c>
    </row>
    <row r="881" spans="1:15" x14ac:dyDescent="0.2">
      <c r="A881" t="s">
        <v>1240</v>
      </c>
      <c r="B881" t="s">
        <v>423</v>
      </c>
      <c r="C881">
        <v>42</v>
      </c>
      <c r="D881" t="s">
        <v>37</v>
      </c>
      <c r="E881" t="s">
        <v>26</v>
      </c>
      <c r="F881" t="s">
        <v>43</v>
      </c>
      <c r="G881" s="2">
        <v>46068</v>
      </c>
      <c r="H881" t="s">
        <v>28</v>
      </c>
      <c r="I881" s="3">
        <v>427946</v>
      </c>
      <c r="J881">
        <v>685</v>
      </c>
      <c r="K881" t="s">
        <v>78</v>
      </c>
      <c r="L881" t="s">
        <v>58</v>
      </c>
      <c r="M881">
        <v>48</v>
      </c>
      <c r="N881" s="3">
        <v>4257.26</v>
      </c>
      <c r="O881" t="s">
        <v>22</v>
      </c>
    </row>
    <row r="882" spans="1:15" x14ac:dyDescent="0.2">
      <c r="A882" t="s">
        <v>1241</v>
      </c>
      <c r="B882" t="s">
        <v>429</v>
      </c>
      <c r="C882">
        <v>61</v>
      </c>
      <c r="D882" t="s">
        <v>70</v>
      </c>
      <c r="E882" t="s">
        <v>17</v>
      </c>
      <c r="F882" t="s">
        <v>100</v>
      </c>
      <c r="G882" s="2">
        <v>45946</v>
      </c>
      <c r="H882" t="s">
        <v>33</v>
      </c>
      <c r="I882" s="3">
        <v>1114899</v>
      </c>
      <c r="J882">
        <v>716</v>
      </c>
      <c r="K882" t="s">
        <v>92</v>
      </c>
      <c r="L882" t="s">
        <v>38</v>
      </c>
      <c r="M882">
        <v>85</v>
      </c>
      <c r="N882" s="3">
        <v>5813.96</v>
      </c>
      <c r="O882" t="s">
        <v>22</v>
      </c>
    </row>
    <row r="883" spans="1:15" x14ac:dyDescent="0.2">
      <c r="A883" t="s">
        <v>1242</v>
      </c>
      <c r="B883" t="s">
        <v>115</v>
      </c>
      <c r="C883">
        <v>37</v>
      </c>
      <c r="D883" t="s">
        <v>70</v>
      </c>
      <c r="E883" t="s">
        <v>26</v>
      </c>
      <c r="F883" t="s">
        <v>43</v>
      </c>
      <c r="G883" s="2">
        <v>45911</v>
      </c>
      <c r="I883" s="3">
        <v>513503</v>
      </c>
      <c r="J883">
        <v>769</v>
      </c>
      <c r="K883" t="s">
        <v>86</v>
      </c>
      <c r="L883" t="s">
        <v>21</v>
      </c>
      <c r="M883">
        <v>43</v>
      </c>
      <c r="N883" s="3">
        <v>4477.51</v>
      </c>
      <c r="O883" t="s">
        <v>22</v>
      </c>
    </row>
    <row r="884" spans="1:15" x14ac:dyDescent="0.2">
      <c r="A884" t="s">
        <v>1243</v>
      </c>
      <c r="B884" t="s">
        <v>125</v>
      </c>
      <c r="C884">
        <v>46</v>
      </c>
      <c r="D884" t="s">
        <v>51</v>
      </c>
      <c r="E884" t="s">
        <v>26</v>
      </c>
      <c r="F884" t="s">
        <v>27</v>
      </c>
      <c r="G884" s="2">
        <v>45853</v>
      </c>
      <c r="H884" t="s">
        <v>28</v>
      </c>
      <c r="I884" s="3">
        <v>2568292</v>
      </c>
      <c r="J884">
        <v>707</v>
      </c>
      <c r="K884" t="s">
        <v>34</v>
      </c>
      <c r="L884" t="s">
        <v>21</v>
      </c>
      <c r="M884">
        <v>116</v>
      </c>
      <c r="N884" s="3">
        <v>10985.16</v>
      </c>
      <c r="O884" t="s">
        <v>22</v>
      </c>
    </row>
    <row r="885" spans="1:15" x14ac:dyDescent="0.2">
      <c r="A885" t="s">
        <v>1244</v>
      </c>
      <c r="B885" t="s">
        <v>1245</v>
      </c>
      <c r="C885">
        <v>64</v>
      </c>
      <c r="D885" t="s">
        <v>105</v>
      </c>
      <c r="E885" t="s">
        <v>26</v>
      </c>
      <c r="F885" t="s">
        <v>18</v>
      </c>
      <c r="G885" s="2">
        <v>46255</v>
      </c>
      <c r="H885" t="s">
        <v>28</v>
      </c>
      <c r="I885" s="3">
        <v>2276393</v>
      </c>
      <c r="J885">
        <v>626</v>
      </c>
      <c r="K885" t="s">
        <v>78</v>
      </c>
      <c r="L885" t="s">
        <v>58</v>
      </c>
      <c r="M885">
        <v>53</v>
      </c>
      <c r="N885" s="3">
        <v>7593.37</v>
      </c>
      <c r="O885" t="s">
        <v>22</v>
      </c>
    </row>
    <row r="886" spans="1:15" x14ac:dyDescent="0.2">
      <c r="A886" t="s">
        <v>1246</v>
      </c>
      <c r="B886" t="s">
        <v>854</v>
      </c>
      <c r="C886">
        <v>27</v>
      </c>
      <c r="D886" t="s">
        <v>70</v>
      </c>
      <c r="E886" t="s">
        <v>26</v>
      </c>
      <c r="F886" t="s">
        <v>27</v>
      </c>
      <c r="G886" s="2">
        <v>46179</v>
      </c>
      <c r="H886" t="s">
        <v>44</v>
      </c>
      <c r="I886" s="3">
        <v>3252083</v>
      </c>
      <c r="J886">
        <v>584</v>
      </c>
      <c r="K886" t="s">
        <v>78</v>
      </c>
      <c r="L886" t="s">
        <v>38</v>
      </c>
      <c r="M886">
        <v>117</v>
      </c>
      <c r="N886" s="3">
        <v>18905.169999999998</v>
      </c>
      <c r="O886" t="s">
        <v>22</v>
      </c>
    </row>
    <row r="887" spans="1:15" x14ac:dyDescent="0.2">
      <c r="A887" t="s">
        <v>1247</v>
      </c>
      <c r="B887" t="s">
        <v>870</v>
      </c>
      <c r="C887">
        <v>62</v>
      </c>
      <c r="D887" t="s">
        <v>105</v>
      </c>
      <c r="E887" t="s">
        <v>26</v>
      </c>
      <c r="F887" t="s">
        <v>27</v>
      </c>
      <c r="G887" s="2">
        <v>46174</v>
      </c>
      <c r="H887" t="s">
        <v>33</v>
      </c>
      <c r="I887" s="3">
        <v>2629897</v>
      </c>
      <c r="J887">
        <v>836</v>
      </c>
      <c r="K887" t="s">
        <v>67</v>
      </c>
      <c r="L887" t="s">
        <v>21</v>
      </c>
      <c r="M887">
        <v>85</v>
      </c>
      <c r="N887" s="3">
        <v>13654.41</v>
      </c>
      <c r="O887" t="s">
        <v>22</v>
      </c>
    </row>
    <row r="888" spans="1:15" x14ac:dyDescent="0.2">
      <c r="A888" t="s">
        <v>1248</v>
      </c>
      <c r="B888" t="s">
        <v>188</v>
      </c>
      <c r="C888">
        <v>46</v>
      </c>
      <c r="D888" t="s">
        <v>128</v>
      </c>
      <c r="E888" t="s">
        <v>26</v>
      </c>
      <c r="F888" t="s">
        <v>27</v>
      </c>
      <c r="G888" s="2">
        <v>45775</v>
      </c>
      <c r="H888" t="s">
        <v>28</v>
      </c>
      <c r="I888" s="3">
        <v>1544416</v>
      </c>
      <c r="J888">
        <v>729</v>
      </c>
      <c r="K888" t="s">
        <v>29</v>
      </c>
      <c r="L888" t="s">
        <v>58</v>
      </c>
      <c r="M888">
        <v>27</v>
      </c>
      <c r="N888" s="3">
        <v>1783.09</v>
      </c>
      <c r="O888" t="s">
        <v>22</v>
      </c>
    </row>
    <row r="889" spans="1:15" x14ac:dyDescent="0.2">
      <c r="A889" t="s">
        <v>1249</v>
      </c>
      <c r="B889" t="s">
        <v>309</v>
      </c>
      <c r="C889">
        <v>45</v>
      </c>
      <c r="D889" t="s">
        <v>105</v>
      </c>
      <c r="E889" t="s">
        <v>26</v>
      </c>
      <c r="F889" t="s">
        <v>27</v>
      </c>
      <c r="G889" s="2">
        <v>45816</v>
      </c>
      <c r="H889" t="s">
        <v>44</v>
      </c>
      <c r="I889" s="3">
        <v>2235196</v>
      </c>
      <c r="J889">
        <v>822</v>
      </c>
      <c r="K889" t="s">
        <v>92</v>
      </c>
      <c r="L889" t="s">
        <v>38</v>
      </c>
      <c r="M889">
        <v>19</v>
      </c>
      <c r="N889" s="3">
        <v>3268.22</v>
      </c>
      <c r="O889" t="s">
        <v>22</v>
      </c>
    </row>
    <row r="890" spans="1:15" x14ac:dyDescent="0.2">
      <c r="A890" t="s">
        <v>1250</v>
      </c>
      <c r="B890" t="s">
        <v>503</v>
      </c>
      <c r="C890">
        <v>30</v>
      </c>
      <c r="D890" t="s">
        <v>55</v>
      </c>
      <c r="E890" t="s">
        <v>26</v>
      </c>
      <c r="F890" t="s">
        <v>18</v>
      </c>
      <c r="G890" s="2">
        <v>45885</v>
      </c>
      <c r="H890" t="s">
        <v>44</v>
      </c>
      <c r="I890" s="3">
        <v>4168198</v>
      </c>
      <c r="J890">
        <v>787</v>
      </c>
      <c r="K890" t="s">
        <v>92</v>
      </c>
      <c r="L890" t="s">
        <v>58</v>
      </c>
      <c r="M890">
        <v>23</v>
      </c>
      <c r="N890" s="3">
        <v>7466.92</v>
      </c>
      <c r="O890" t="s">
        <v>22</v>
      </c>
    </row>
    <row r="891" spans="1:15" x14ac:dyDescent="0.2">
      <c r="A891" t="s">
        <v>1251</v>
      </c>
      <c r="B891" t="s">
        <v>299</v>
      </c>
      <c r="C891">
        <v>65</v>
      </c>
      <c r="D891" t="s">
        <v>70</v>
      </c>
      <c r="E891" t="s">
        <v>26</v>
      </c>
      <c r="F891" t="s">
        <v>43</v>
      </c>
      <c r="G891" s="2">
        <v>45873</v>
      </c>
      <c r="H891" t="s">
        <v>28</v>
      </c>
      <c r="I891" s="3">
        <v>1810121</v>
      </c>
      <c r="J891">
        <v>694</v>
      </c>
      <c r="K891" t="s">
        <v>67</v>
      </c>
      <c r="L891" t="s">
        <v>38</v>
      </c>
      <c r="M891">
        <v>115</v>
      </c>
      <c r="N891" s="3">
        <v>8560.5400000000009</v>
      </c>
      <c r="O891" t="s">
        <v>22</v>
      </c>
    </row>
    <row r="892" spans="1:15" x14ac:dyDescent="0.2">
      <c r="A892" t="s">
        <v>1252</v>
      </c>
      <c r="B892" t="s">
        <v>348</v>
      </c>
      <c r="C892">
        <v>39</v>
      </c>
      <c r="D892" t="s">
        <v>70</v>
      </c>
      <c r="E892" t="s">
        <v>26</v>
      </c>
      <c r="F892" t="s">
        <v>18</v>
      </c>
      <c r="G892" s="2">
        <v>45672</v>
      </c>
      <c r="H892" t="s">
        <v>28</v>
      </c>
      <c r="I892" s="3">
        <v>693035</v>
      </c>
      <c r="J892">
        <v>774</v>
      </c>
      <c r="K892" t="s">
        <v>34</v>
      </c>
      <c r="L892" t="s">
        <v>21</v>
      </c>
      <c r="M892">
        <v>50</v>
      </c>
      <c r="N892" s="3">
        <v>3585.42</v>
      </c>
      <c r="O892" t="s">
        <v>22</v>
      </c>
    </row>
    <row r="893" spans="1:15" x14ac:dyDescent="0.2">
      <c r="A893" t="s">
        <v>1253</v>
      </c>
      <c r="B893" t="s">
        <v>854</v>
      </c>
      <c r="C893">
        <v>31</v>
      </c>
      <c r="D893" t="s">
        <v>48</v>
      </c>
      <c r="E893" t="s">
        <v>26</v>
      </c>
      <c r="F893" t="s">
        <v>43</v>
      </c>
      <c r="G893" s="2">
        <v>45814</v>
      </c>
      <c r="H893" t="s">
        <v>52</v>
      </c>
      <c r="I893" s="3">
        <v>3349072</v>
      </c>
      <c r="J893">
        <v>749</v>
      </c>
      <c r="K893" t="s">
        <v>86</v>
      </c>
      <c r="L893" t="s">
        <v>58</v>
      </c>
      <c r="M893">
        <v>51</v>
      </c>
      <c r="N893" s="3">
        <v>35213.089999999997</v>
      </c>
      <c r="O893" t="s">
        <v>22</v>
      </c>
    </row>
    <row r="894" spans="1:15" x14ac:dyDescent="0.2">
      <c r="A894" t="s">
        <v>1254</v>
      </c>
      <c r="B894" t="s">
        <v>192</v>
      </c>
      <c r="C894">
        <v>33</v>
      </c>
      <c r="D894" t="s">
        <v>105</v>
      </c>
      <c r="E894" t="s">
        <v>56</v>
      </c>
      <c r="F894" t="s">
        <v>27</v>
      </c>
      <c r="G894" s="2">
        <v>45918</v>
      </c>
      <c r="H894" t="s">
        <v>44</v>
      </c>
      <c r="I894" s="3">
        <v>2285115</v>
      </c>
      <c r="J894">
        <v>661</v>
      </c>
      <c r="K894" t="s">
        <v>20</v>
      </c>
      <c r="L894" t="s">
        <v>21</v>
      </c>
      <c r="M894">
        <v>43</v>
      </c>
      <c r="N894" s="3">
        <v>22201.66</v>
      </c>
      <c r="O894" t="s">
        <v>22</v>
      </c>
    </row>
    <row r="895" spans="1:15" x14ac:dyDescent="0.2">
      <c r="A895" t="s">
        <v>1255</v>
      </c>
      <c r="B895" t="s">
        <v>211</v>
      </c>
      <c r="C895">
        <v>28</v>
      </c>
      <c r="D895" t="s">
        <v>25</v>
      </c>
      <c r="E895" t="s">
        <v>26</v>
      </c>
      <c r="F895" t="s">
        <v>18</v>
      </c>
      <c r="G895" s="2">
        <v>45814</v>
      </c>
      <c r="H895" t="s">
        <v>19</v>
      </c>
      <c r="I895" s="3">
        <v>939317</v>
      </c>
      <c r="J895">
        <v>733</v>
      </c>
      <c r="K895" t="s">
        <v>34</v>
      </c>
      <c r="L895" t="s">
        <v>58</v>
      </c>
      <c r="M895">
        <v>99</v>
      </c>
      <c r="N895" s="3">
        <v>1592.44</v>
      </c>
      <c r="O895" t="s">
        <v>22</v>
      </c>
    </row>
    <row r="896" spans="1:15" x14ac:dyDescent="0.2">
      <c r="A896" t="s">
        <v>1256</v>
      </c>
      <c r="B896" t="s">
        <v>666</v>
      </c>
      <c r="C896">
        <v>60</v>
      </c>
      <c r="D896" t="s">
        <v>70</v>
      </c>
      <c r="E896" t="s">
        <v>26</v>
      </c>
      <c r="F896" t="s">
        <v>27</v>
      </c>
      <c r="G896" s="2">
        <v>45704</v>
      </c>
      <c r="H896" t="s">
        <v>44</v>
      </c>
      <c r="I896" s="3">
        <v>1001240</v>
      </c>
      <c r="J896">
        <v>720</v>
      </c>
      <c r="K896" t="s">
        <v>29</v>
      </c>
      <c r="L896" t="s">
        <v>30</v>
      </c>
      <c r="M896">
        <v>104</v>
      </c>
      <c r="N896" s="3">
        <v>12870.56</v>
      </c>
      <c r="O896" t="s">
        <v>22</v>
      </c>
    </row>
    <row r="897" spans="1:15" x14ac:dyDescent="0.2">
      <c r="A897" t="s">
        <v>1257</v>
      </c>
      <c r="B897" t="s">
        <v>565</v>
      </c>
      <c r="C897">
        <v>24</v>
      </c>
      <c r="D897" t="s">
        <v>37</v>
      </c>
      <c r="E897" t="s">
        <v>26</v>
      </c>
      <c r="F897" t="s">
        <v>27</v>
      </c>
      <c r="G897" s="2">
        <v>45981</v>
      </c>
      <c r="H897" t="s">
        <v>33</v>
      </c>
      <c r="I897" s="3">
        <v>1245791</v>
      </c>
      <c r="J897">
        <v>725</v>
      </c>
      <c r="K897" t="s">
        <v>92</v>
      </c>
      <c r="L897" t="s">
        <v>21</v>
      </c>
      <c r="M897">
        <v>116</v>
      </c>
      <c r="N897" s="3">
        <v>8534.85</v>
      </c>
      <c r="O897" t="s">
        <v>22</v>
      </c>
    </row>
    <row r="898" spans="1:15" x14ac:dyDescent="0.2">
      <c r="A898" t="s">
        <v>1258</v>
      </c>
      <c r="B898" t="s">
        <v>167</v>
      </c>
      <c r="C898">
        <v>67</v>
      </c>
      <c r="D898" t="s">
        <v>48</v>
      </c>
      <c r="E898" t="s">
        <v>26</v>
      </c>
      <c r="F898" t="s">
        <v>43</v>
      </c>
      <c r="G898" s="2">
        <v>45787</v>
      </c>
      <c r="H898" t="s">
        <v>33</v>
      </c>
      <c r="I898" s="3">
        <v>2470943</v>
      </c>
      <c r="J898">
        <v>701</v>
      </c>
      <c r="K898" t="s">
        <v>78</v>
      </c>
      <c r="L898" t="s">
        <v>21</v>
      </c>
      <c r="M898">
        <v>51</v>
      </c>
      <c r="N898" s="3">
        <v>33059.65</v>
      </c>
      <c r="O898" t="s">
        <v>22</v>
      </c>
    </row>
    <row r="899" spans="1:15" x14ac:dyDescent="0.2">
      <c r="A899" t="s">
        <v>1259</v>
      </c>
      <c r="B899" t="s">
        <v>1117</v>
      </c>
      <c r="C899">
        <v>51</v>
      </c>
      <c r="D899" t="s">
        <v>105</v>
      </c>
      <c r="E899" t="s">
        <v>17</v>
      </c>
      <c r="F899" t="s">
        <v>27</v>
      </c>
      <c r="G899" s="2">
        <v>46068</v>
      </c>
      <c r="H899" t="s">
        <v>28</v>
      </c>
      <c r="I899" s="3">
        <v>3312138</v>
      </c>
      <c r="J899">
        <v>831</v>
      </c>
      <c r="K899" t="s">
        <v>92</v>
      </c>
      <c r="L899" t="s">
        <v>45</v>
      </c>
      <c r="M899">
        <v>106</v>
      </c>
      <c r="N899" s="3">
        <v>1722.65</v>
      </c>
      <c r="O899" t="s">
        <v>22</v>
      </c>
    </row>
    <row r="900" spans="1:15" x14ac:dyDescent="0.2">
      <c r="A900" t="s">
        <v>1260</v>
      </c>
      <c r="B900" t="s">
        <v>666</v>
      </c>
      <c r="C900">
        <v>48</v>
      </c>
      <c r="D900" t="s">
        <v>25</v>
      </c>
      <c r="E900" t="s">
        <v>17</v>
      </c>
      <c r="F900" t="s">
        <v>27</v>
      </c>
      <c r="G900" s="2">
        <v>45752</v>
      </c>
      <c r="H900" t="s">
        <v>28</v>
      </c>
      <c r="I900" s="3">
        <v>1791121</v>
      </c>
      <c r="J900">
        <v>668</v>
      </c>
      <c r="K900" t="s">
        <v>34</v>
      </c>
      <c r="L900" t="s">
        <v>21</v>
      </c>
      <c r="M900">
        <v>112</v>
      </c>
      <c r="N900" s="3">
        <v>77874.009999999995</v>
      </c>
      <c r="O900" t="s">
        <v>22</v>
      </c>
    </row>
    <row r="901" spans="1:15" x14ac:dyDescent="0.2">
      <c r="A901" t="s">
        <v>1261</v>
      </c>
      <c r="B901" t="s">
        <v>692</v>
      </c>
      <c r="C901">
        <v>31</v>
      </c>
      <c r="D901" t="s">
        <v>25</v>
      </c>
      <c r="E901" t="s">
        <v>56</v>
      </c>
      <c r="F901" t="s">
        <v>43</v>
      </c>
      <c r="G901" s="2">
        <v>45949</v>
      </c>
      <c r="H901" t="s">
        <v>28</v>
      </c>
      <c r="I901" s="3">
        <v>2210299</v>
      </c>
      <c r="J901">
        <v>637</v>
      </c>
      <c r="K901" t="s">
        <v>20</v>
      </c>
      <c r="L901" t="s">
        <v>38</v>
      </c>
      <c r="M901">
        <v>69</v>
      </c>
      <c r="N901" s="3">
        <v>3695.63</v>
      </c>
      <c r="O901" t="s">
        <v>22</v>
      </c>
    </row>
    <row r="902" spans="1:15" x14ac:dyDescent="0.2">
      <c r="A902" t="s">
        <v>1262</v>
      </c>
      <c r="B902" t="s">
        <v>787</v>
      </c>
      <c r="C902">
        <v>63</v>
      </c>
      <c r="D902" t="s">
        <v>75</v>
      </c>
      <c r="E902" t="s">
        <v>17</v>
      </c>
      <c r="F902" t="s">
        <v>43</v>
      </c>
      <c r="G902" s="2">
        <v>45940</v>
      </c>
      <c r="H902" t="s">
        <v>33</v>
      </c>
      <c r="I902" s="3">
        <v>3103501</v>
      </c>
      <c r="J902">
        <v>642</v>
      </c>
      <c r="K902" t="s">
        <v>57</v>
      </c>
      <c r="L902" t="s">
        <v>58</v>
      </c>
      <c r="M902">
        <v>116</v>
      </c>
      <c r="N902" s="3">
        <v>13325.75</v>
      </c>
      <c r="O902" t="s">
        <v>22</v>
      </c>
    </row>
    <row r="903" spans="1:15" x14ac:dyDescent="0.2">
      <c r="A903" t="s">
        <v>1263</v>
      </c>
      <c r="B903" t="s">
        <v>954</v>
      </c>
      <c r="C903">
        <v>21</v>
      </c>
      <c r="D903" t="s">
        <v>16</v>
      </c>
      <c r="E903" t="s">
        <v>83</v>
      </c>
      <c r="F903" t="s">
        <v>27</v>
      </c>
      <c r="G903" s="2">
        <v>45726</v>
      </c>
      <c r="H903" t="s">
        <v>33</v>
      </c>
      <c r="I903" s="3">
        <v>3077433</v>
      </c>
      <c r="J903">
        <v>651</v>
      </c>
      <c r="K903" t="s">
        <v>57</v>
      </c>
      <c r="L903" t="s">
        <v>30</v>
      </c>
      <c r="M903">
        <v>41</v>
      </c>
      <c r="N903" s="3">
        <v>4737.79</v>
      </c>
      <c r="O903" t="s">
        <v>22</v>
      </c>
    </row>
    <row r="904" spans="1:15" x14ac:dyDescent="0.2">
      <c r="A904" t="s">
        <v>1264</v>
      </c>
      <c r="B904" t="s">
        <v>148</v>
      </c>
      <c r="C904">
        <v>69</v>
      </c>
      <c r="D904" t="s">
        <v>128</v>
      </c>
      <c r="E904" t="s">
        <v>26</v>
      </c>
      <c r="F904" t="s">
        <v>100</v>
      </c>
      <c r="G904" s="2">
        <v>45668</v>
      </c>
      <c r="H904" t="s">
        <v>52</v>
      </c>
      <c r="I904" s="3">
        <v>2709622</v>
      </c>
      <c r="J904">
        <v>588</v>
      </c>
      <c r="K904" t="s">
        <v>67</v>
      </c>
      <c r="L904" t="s">
        <v>38</v>
      </c>
      <c r="M904">
        <v>72</v>
      </c>
      <c r="N904" s="3">
        <v>6033.2</v>
      </c>
      <c r="O904" t="s">
        <v>22</v>
      </c>
    </row>
    <row r="905" spans="1:15" x14ac:dyDescent="0.2">
      <c r="A905" t="s">
        <v>1265</v>
      </c>
      <c r="B905" t="s">
        <v>1142</v>
      </c>
      <c r="C905">
        <v>67</v>
      </c>
      <c r="D905" t="s">
        <v>55</v>
      </c>
      <c r="E905" t="s">
        <v>26</v>
      </c>
      <c r="F905" t="s">
        <v>43</v>
      </c>
      <c r="G905" s="2">
        <v>45911</v>
      </c>
      <c r="H905" t="s">
        <v>28</v>
      </c>
      <c r="I905" s="3">
        <v>2147459</v>
      </c>
      <c r="J905">
        <v>673</v>
      </c>
      <c r="K905" t="s">
        <v>92</v>
      </c>
      <c r="L905" t="s">
        <v>38</v>
      </c>
      <c r="M905">
        <v>11</v>
      </c>
      <c r="N905" s="3">
        <v>1519.46</v>
      </c>
      <c r="O905" t="s">
        <v>22</v>
      </c>
    </row>
    <row r="906" spans="1:15" x14ac:dyDescent="0.2">
      <c r="A906" t="s">
        <v>1266</v>
      </c>
      <c r="B906" t="s">
        <v>1267</v>
      </c>
      <c r="C906">
        <v>58</v>
      </c>
      <c r="D906" t="s">
        <v>89</v>
      </c>
      <c r="E906" t="s">
        <v>26</v>
      </c>
      <c r="F906" t="s">
        <v>18</v>
      </c>
      <c r="G906" s="2">
        <v>46207</v>
      </c>
      <c r="H906" t="s">
        <v>33</v>
      </c>
      <c r="I906" s="3">
        <v>4490012</v>
      </c>
      <c r="J906">
        <v>731</v>
      </c>
      <c r="K906" t="s">
        <v>92</v>
      </c>
      <c r="L906" t="s">
        <v>38</v>
      </c>
      <c r="M906">
        <v>80</v>
      </c>
      <c r="N906" s="3">
        <v>31468.15</v>
      </c>
      <c r="O906" t="s">
        <v>22</v>
      </c>
    </row>
    <row r="907" spans="1:15" x14ac:dyDescent="0.2">
      <c r="A907" t="s">
        <v>1268</v>
      </c>
      <c r="B907" t="s">
        <v>416</v>
      </c>
      <c r="C907">
        <v>44</v>
      </c>
      <c r="D907" t="s">
        <v>70</v>
      </c>
      <c r="E907" t="s">
        <v>26</v>
      </c>
      <c r="F907" t="s">
        <v>27</v>
      </c>
      <c r="G907" s="2">
        <v>45791</v>
      </c>
      <c r="H907" t="s">
        <v>28</v>
      </c>
      <c r="I907" s="3">
        <v>4199842</v>
      </c>
      <c r="J907">
        <v>619</v>
      </c>
      <c r="K907" t="s">
        <v>29</v>
      </c>
      <c r="L907" t="s">
        <v>38</v>
      </c>
      <c r="M907">
        <v>103</v>
      </c>
      <c r="N907" s="3">
        <v>6747.11</v>
      </c>
      <c r="O907" t="s">
        <v>22</v>
      </c>
    </row>
    <row r="908" spans="1:15" x14ac:dyDescent="0.2">
      <c r="A908" t="s">
        <v>1269</v>
      </c>
      <c r="B908" t="s">
        <v>576</v>
      </c>
      <c r="C908">
        <v>67</v>
      </c>
      <c r="D908" t="s">
        <v>51</v>
      </c>
      <c r="E908" t="s">
        <v>17</v>
      </c>
      <c r="F908" t="s">
        <v>43</v>
      </c>
      <c r="G908" s="2">
        <v>45680</v>
      </c>
      <c r="H908" t="s">
        <v>28</v>
      </c>
      <c r="I908" s="3">
        <v>1465442</v>
      </c>
      <c r="J908">
        <v>641</v>
      </c>
      <c r="K908" t="s">
        <v>92</v>
      </c>
      <c r="L908" t="s">
        <v>30</v>
      </c>
      <c r="M908">
        <v>111</v>
      </c>
      <c r="N908" s="3">
        <v>7246.39</v>
      </c>
      <c r="O908" t="s">
        <v>39</v>
      </c>
    </row>
    <row r="909" spans="1:15" x14ac:dyDescent="0.2">
      <c r="A909" t="s">
        <v>1270</v>
      </c>
      <c r="B909" t="s">
        <v>439</v>
      </c>
      <c r="C909">
        <v>51</v>
      </c>
      <c r="D909" t="s">
        <v>105</v>
      </c>
      <c r="E909" t="s">
        <v>17</v>
      </c>
      <c r="F909" t="s">
        <v>18</v>
      </c>
      <c r="G909" s="2">
        <v>46003</v>
      </c>
      <c r="H909" t="s">
        <v>52</v>
      </c>
      <c r="I909" s="3">
        <v>4367095</v>
      </c>
      <c r="J909">
        <v>833</v>
      </c>
      <c r="K909" t="s">
        <v>20</v>
      </c>
      <c r="L909" t="s">
        <v>45</v>
      </c>
      <c r="M909">
        <v>88</v>
      </c>
      <c r="N909" s="3">
        <v>101529.63</v>
      </c>
      <c r="O909" t="s">
        <v>22</v>
      </c>
    </row>
    <row r="910" spans="1:15" x14ac:dyDescent="0.2">
      <c r="A910" t="s">
        <v>1271</v>
      </c>
      <c r="B910" t="s">
        <v>1155</v>
      </c>
      <c r="C910">
        <v>61</v>
      </c>
      <c r="D910" t="s">
        <v>105</v>
      </c>
      <c r="E910" t="s">
        <v>26</v>
      </c>
      <c r="F910" t="s">
        <v>43</v>
      </c>
      <c r="G910" s="2">
        <v>45959</v>
      </c>
      <c r="H910" t="s">
        <v>33</v>
      </c>
      <c r="I910" s="3">
        <v>2830309</v>
      </c>
      <c r="J910">
        <v>648</v>
      </c>
      <c r="K910" t="s">
        <v>92</v>
      </c>
      <c r="L910" t="s">
        <v>21</v>
      </c>
      <c r="M910">
        <v>85</v>
      </c>
      <c r="N910" s="3">
        <v>24524.18</v>
      </c>
      <c r="O910" t="s">
        <v>22</v>
      </c>
    </row>
    <row r="911" spans="1:15" x14ac:dyDescent="0.2">
      <c r="A911" t="s">
        <v>1272</v>
      </c>
      <c r="B911" t="s">
        <v>666</v>
      </c>
      <c r="C911">
        <v>66</v>
      </c>
      <c r="D911" t="s">
        <v>48</v>
      </c>
      <c r="E911" t="s">
        <v>83</v>
      </c>
      <c r="F911" t="s">
        <v>18</v>
      </c>
      <c r="G911" s="2">
        <v>46020</v>
      </c>
      <c r="H911" t="s">
        <v>19</v>
      </c>
      <c r="I911" s="3">
        <v>3565537</v>
      </c>
      <c r="J911">
        <v>824</v>
      </c>
      <c r="K911" t="s">
        <v>86</v>
      </c>
      <c r="L911" t="s">
        <v>38</v>
      </c>
      <c r="M911">
        <v>52</v>
      </c>
      <c r="N911" s="3">
        <v>4439.16</v>
      </c>
      <c r="O911" t="s">
        <v>22</v>
      </c>
    </row>
    <row r="912" spans="1:15" x14ac:dyDescent="0.2">
      <c r="A912" t="s">
        <v>1273</v>
      </c>
      <c r="B912" t="s">
        <v>115</v>
      </c>
      <c r="C912">
        <v>70</v>
      </c>
      <c r="D912" t="s">
        <v>48</v>
      </c>
      <c r="E912" t="s">
        <v>56</v>
      </c>
      <c r="F912" t="s">
        <v>27</v>
      </c>
      <c r="G912" s="2">
        <v>46053</v>
      </c>
      <c r="H912" t="s">
        <v>28</v>
      </c>
      <c r="I912" s="3">
        <v>2841318</v>
      </c>
      <c r="J912">
        <v>749</v>
      </c>
      <c r="K912" t="s">
        <v>34</v>
      </c>
      <c r="L912" t="s">
        <v>21</v>
      </c>
      <c r="M912">
        <v>23</v>
      </c>
      <c r="N912" s="3">
        <v>4718.43</v>
      </c>
      <c r="O912" t="s">
        <v>22</v>
      </c>
    </row>
    <row r="913" spans="1:15" x14ac:dyDescent="0.2">
      <c r="A913" t="s">
        <v>1274</v>
      </c>
      <c r="B913" t="s">
        <v>60</v>
      </c>
      <c r="C913">
        <v>46</v>
      </c>
      <c r="D913" t="s">
        <v>51</v>
      </c>
      <c r="E913" t="s">
        <v>26</v>
      </c>
      <c r="F913" t="s">
        <v>27</v>
      </c>
      <c r="G913" s="2">
        <v>45875</v>
      </c>
      <c r="H913" t="s">
        <v>28</v>
      </c>
      <c r="I913" s="3">
        <v>4497328</v>
      </c>
      <c r="J913">
        <v>757</v>
      </c>
      <c r="K913" t="s">
        <v>67</v>
      </c>
      <c r="L913" t="s">
        <v>21</v>
      </c>
      <c r="M913">
        <v>49</v>
      </c>
      <c r="N913" s="3">
        <v>11763.91</v>
      </c>
      <c r="O913" t="s">
        <v>22</v>
      </c>
    </row>
    <row r="914" spans="1:15" x14ac:dyDescent="0.2">
      <c r="A914" t="s">
        <v>1275</v>
      </c>
      <c r="B914" t="s">
        <v>421</v>
      </c>
      <c r="C914">
        <v>69</v>
      </c>
      <c r="D914" t="s">
        <v>105</v>
      </c>
      <c r="E914" t="s">
        <v>26</v>
      </c>
      <c r="F914" t="s">
        <v>27</v>
      </c>
      <c r="G914" s="2">
        <v>45798</v>
      </c>
      <c r="H914" t="s">
        <v>28</v>
      </c>
      <c r="I914" s="3">
        <v>1701469</v>
      </c>
      <c r="J914">
        <v>768</v>
      </c>
      <c r="K914" t="s">
        <v>20</v>
      </c>
      <c r="L914" t="s">
        <v>38</v>
      </c>
      <c r="M914">
        <v>38</v>
      </c>
      <c r="N914" s="3">
        <v>20115.91</v>
      </c>
      <c r="O914" t="s">
        <v>22</v>
      </c>
    </row>
    <row r="915" spans="1:15" x14ac:dyDescent="0.2">
      <c r="A915" t="s">
        <v>1276</v>
      </c>
      <c r="B915" t="s">
        <v>359</v>
      </c>
      <c r="C915">
        <v>70</v>
      </c>
      <c r="D915" t="s">
        <v>42</v>
      </c>
      <c r="E915" t="s">
        <v>26</v>
      </c>
      <c r="F915" t="s">
        <v>27</v>
      </c>
      <c r="G915" s="2">
        <v>45867</v>
      </c>
      <c r="H915" t="s">
        <v>28</v>
      </c>
      <c r="I915" s="3">
        <v>3550874</v>
      </c>
      <c r="J915">
        <v>839</v>
      </c>
      <c r="K915" t="s">
        <v>29</v>
      </c>
      <c r="L915" t="s">
        <v>45</v>
      </c>
      <c r="M915">
        <v>47</v>
      </c>
      <c r="N915" s="3">
        <v>56390.96</v>
      </c>
      <c r="O915" t="s">
        <v>22</v>
      </c>
    </row>
    <row r="916" spans="1:15" x14ac:dyDescent="0.2">
      <c r="A916" t="s">
        <v>1277</v>
      </c>
      <c r="B916" t="s">
        <v>427</v>
      </c>
      <c r="C916">
        <v>25</v>
      </c>
      <c r="D916" t="s">
        <v>55</v>
      </c>
      <c r="E916" t="s">
        <v>26</v>
      </c>
      <c r="F916" t="s">
        <v>18</v>
      </c>
      <c r="G916" s="2">
        <v>46117</v>
      </c>
      <c r="H916" t="s">
        <v>44</v>
      </c>
      <c r="I916" s="3">
        <v>4313997</v>
      </c>
      <c r="J916">
        <v>651</v>
      </c>
      <c r="K916" t="s">
        <v>86</v>
      </c>
      <c r="L916" t="s">
        <v>21</v>
      </c>
      <c r="M916">
        <v>72</v>
      </c>
      <c r="N916" s="3">
        <v>1654.9</v>
      </c>
      <c r="O916" t="s">
        <v>22</v>
      </c>
    </row>
    <row r="917" spans="1:15" x14ac:dyDescent="0.2">
      <c r="A917" t="s">
        <v>1278</v>
      </c>
      <c r="B917" t="s">
        <v>913</v>
      </c>
      <c r="C917">
        <v>40</v>
      </c>
      <c r="D917" t="s">
        <v>105</v>
      </c>
      <c r="E917" t="s">
        <v>26</v>
      </c>
      <c r="F917" t="s">
        <v>27</v>
      </c>
      <c r="G917" s="2">
        <v>46013</v>
      </c>
      <c r="H917" t="s">
        <v>33</v>
      </c>
      <c r="I917" s="3">
        <v>298926</v>
      </c>
      <c r="J917">
        <v>596</v>
      </c>
      <c r="K917" t="s">
        <v>86</v>
      </c>
      <c r="L917" t="s">
        <v>58</v>
      </c>
      <c r="M917">
        <v>7</v>
      </c>
      <c r="N917" s="3">
        <v>19213.54</v>
      </c>
      <c r="O917" t="s">
        <v>22</v>
      </c>
    </row>
    <row r="918" spans="1:15" x14ac:dyDescent="0.2">
      <c r="A918" t="s">
        <v>1279</v>
      </c>
      <c r="B918" t="s">
        <v>423</v>
      </c>
      <c r="C918">
        <v>61</v>
      </c>
      <c r="D918" t="s">
        <v>70</v>
      </c>
      <c r="E918" t="s">
        <v>26</v>
      </c>
      <c r="F918" t="s">
        <v>100</v>
      </c>
      <c r="G918" s="2">
        <v>45981</v>
      </c>
      <c r="H918" t="s">
        <v>44</v>
      </c>
      <c r="I918" s="3">
        <v>4001387</v>
      </c>
      <c r="J918">
        <v>636</v>
      </c>
      <c r="K918" t="s">
        <v>34</v>
      </c>
      <c r="L918" t="s">
        <v>21</v>
      </c>
      <c r="M918">
        <v>66</v>
      </c>
      <c r="N918" s="3">
        <v>22743.91</v>
      </c>
      <c r="O918" t="s">
        <v>22</v>
      </c>
    </row>
    <row r="919" spans="1:15" x14ac:dyDescent="0.2">
      <c r="A919" t="s">
        <v>1280</v>
      </c>
      <c r="B919" t="s">
        <v>113</v>
      </c>
      <c r="C919">
        <v>31</v>
      </c>
      <c r="D919" t="s">
        <v>16</v>
      </c>
      <c r="E919" t="s">
        <v>26</v>
      </c>
      <c r="F919" t="s">
        <v>100</v>
      </c>
      <c r="G919" s="2">
        <v>45790</v>
      </c>
      <c r="H919" t="s">
        <v>28</v>
      </c>
      <c r="I919" s="3">
        <v>3029060</v>
      </c>
      <c r="J919">
        <v>797</v>
      </c>
      <c r="K919" t="s">
        <v>57</v>
      </c>
      <c r="L919" t="s">
        <v>38</v>
      </c>
      <c r="M919">
        <v>94</v>
      </c>
      <c r="N919" s="3">
        <v>3908.93</v>
      </c>
      <c r="O919" t="s">
        <v>22</v>
      </c>
    </row>
    <row r="920" spans="1:15" x14ac:dyDescent="0.2">
      <c r="A920" t="s">
        <v>1281</v>
      </c>
      <c r="B920" t="s">
        <v>822</v>
      </c>
      <c r="C920">
        <v>53</v>
      </c>
      <c r="D920" t="s">
        <v>51</v>
      </c>
      <c r="E920" t="s">
        <v>26</v>
      </c>
      <c r="F920" t="s">
        <v>27</v>
      </c>
      <c r="G920" s="2">
        <v>45784</v>
      </c>
      <c r="H920" t="s">
        <v>44</v>
      </c>
      <c r="I920" s="3">
        <v>733791</v>
      </c>
      <c r="J920">
        <v>686</v>
      </c>
      <c r="K920" t="s">
        <v>20</v>
      </c>
      <c r="L920" t="s">
        <v>30</v>
      </c>
      <c r="M920">
        <v>77</v>
      </c>
      <c r="N920" s="3">
        <v>6134.77</v>
      </c>
      <c r="O920" t="s">
        <v>22</v>
      </c>
    </row>
    <row r="921" spans="1:15" x14ac:dyDescent="0.2">
      <c r="A921" t="s">
        <v>1282</v>
      </c>
      <c r="B921" t="s">
        <v>501</v>
      </c>
      <c r="C921">
        <v>70</v>
      </c>
      <c r="D921" t="s">
        <v>70</v>
      </c>
      <c r="E921" t="s">
        <v>83</v>
      </c>
      <c r="F921" t="s">
        <v>27</v>
      </c>
      <c r="G921" s="2">
        <v>45763</v>
      </c>
      <c r="H921" t="s">
        <v>28</v>
      </c>
      <c r="I921" s="3">
        <v>1920930</v>
      </c>
      <c r="J921">
        <v>752</v>
      </c>
      <c r="K921" t="s">
        <v>34</v>
      </c>
      <c r="L921" t="s">
        <v>21</v>
      </c>
      <c r="M921">
        <v>62</v>
      </c>
      <c r="N921" s="3">
        <v>1616.72</v>
      </c>
      <c r="O921" t="s">
        <v>22</v>
      </c>
    </row>
    <row r="922" spans="1:15" x14ac:dyDescent="0.2">
      <c r="A922" t="s">
        <v>1283</v>
      </c>
      <c r="B922" t="s">
        <v>60</v>
      </c>
      <c r="C922">
        <v>58</v>
      </c>
      <c r="D922" t="s">
        <v>42</v>
      </c>
      <c r="E922" t="s">
        <v>17</v>
      </c>
      <c r="F922" t="s">
        <v>100</v>
      </c>
      <c r="G922" s="2">
        <v>46261</v>
      </c>
      <c r="H922" t="s">
        <v>44</v>
      </c>
      <c r="I922" s="3">
        <v>2408714</v>
      </c>
      <c r="J922">
        <v>798</v>
      </c>
      <c r="K922" t="s">
        <v>86</v>
      </c>
      <c r="L922" t="s">
        <v>45</v>
      </c>
      <c r="M922">
        <v>87</v>
      </c>
      <c r="N922" s="3">
        <v>5292.58</v>
      </c>
      <c r="O922" t="s">
        <v>22</v>
      </c>
    </row>
    <row r="923" spans="1:15" x14ac:dyDescent="0.2">
      <c r="A923" t="s">
        <v>1284</v>
      </c>
      <c r="B923" t="s">
        <v>540</v>
      </c>
      <c r="C923">
        <v>47</v>
      </c>
      <c r="D923" t="s">
        <v>55</v>
      </c>
      <c r="E923" t="s">
        <v>83</v>
      </c>
      <c r="F923" t="s">
        <v>100</v>
      </c>
      <c r="G923" s="2">
        <v>46035</v>
      </c>
      <c r="H923" t="s">
        <v>28</v>
      </c>
      <c r="I923" s="3">
        <v>3698281</v>
      </c>
      <c r="J923">
        <v>826</v>
      </c>
      <c r="K923" t="s">
        <v>29</v>
      </c>
      <c r="L923" t="s">
        <v>58</v>
      </c>
      <c r="M923">
        <v>29</v>
      </c>
      <c r="N923" s="3">
        <v>11426.59</v>
      </c>
      <c r="O923" t="s">
        <v>22</v>
      </c>
    </row>
    <row r="924" spans="1:15" x14ac:dyDescent="0.2">
      <c r="A924" t="s">
        <v>1285</v>
      </c>
      <c r="B924" t="s">
        <v>388</v>
      </c>
      <c r="C924">
        <v>54</v>
      </c>
      <c r="D924" t="s">
        <v>105</v>
      </c>
      <c r="E924" t="s">
        <v>26</v>
      </c>
      <c r="F924" t="s">
        <v>27</v>
      </c>
      <c r="G924" s="2">
        <v>45708</v>
      </c>
      <c r="H924" t="s">
        <v>28</v>
      </c>
      <c r="I924" s="3">
        <v>2300181</v>
      </c>
      <c r="J924">
        <v>797</v>
      </c>
      <c r="K924" t="s">
        <v>34</v>
      </c>
      <c r="L924" t="s">
        <v>58</v>
      </c>
      <c r="M924">
        <v>38</v>
      </c>
      <c r="N924" s="3">
        <v>47754.25</v>
      </c>
      <c r="O924" t="s">
        <v>335</v>
      </c>
    </row>
    <row r="925" spans="1:15" x14ac:dyDescent="0.2">
      <c r="A925" t="s">
        <v>1286</v>
      </c>
      <c r="B925" t="s">
        <v>630</v>
      </c>
      <c r="C925">
        <v>35</v>
      </c>
      <c r="D925" t="s">
        <v>89</v>
      </c>
      <c r="E925" t="s">
        <v>26</v>
      </c>
      <c r="F925" t="s">
        <v>27</v>
      </c>
      <c r="G925" s="2">
        <v>45686</v>
      </c>
      <c r="H925" t="s">
        <v>28</v>
      </c>
      <c r="I925" s="3">
        <v>1046266</v>
      </c>
      <c r="J925">
        <v>610</v>
      </c>
      <c r="K925" t="s">
        <v>57</v>
      </c>
      <c r="L925" t="s">
        <v>30</v>
      </c>
      <c r="M925">
        <v>101</v>
      </c>
      <c r="N925" s="3">
        <v>52611.17</v>
      </c>
      <c r="O925" t="s">
        <v>22</v>
      </c>
    </row>
    <row r="926" spans="1:15" x14ac:dyDescent="0.2">
      <c r="A926" t="s">
        <v>1287</v>
      </c>
      <c r="B926" t="s">
        <v>66</v>
      </c>
      <c r="C926">
        <v>52</v>
      </c>
      <c r="D926" t="s">
        <v>75</v>
      </c>
      <c r="E926" t="s">
        <v>17</v>
      </c>
      <c r="F926" t="s">
        <v>43</v>
      </c>
      <c r="G926" s="2">
        <v>46119</v>
      </c>
      <c r="H926" t="s">
        <v>19</v>
      </c>
      <c r="I926" s="3">
        <v>2872280</v>
      </c>
      <c r="J926">
        <v>626</v>
      </c>
      <c r="K926" t="s">
        <v>86</v>
      </c>
      <c r="L926" t="s">
        <v>30</v>
      </c>
      <c r="M926">
        <v>84</v>
      </c>
      <c r="N926" s="3">
        <v>3038.85</v>
      </c>
      <c r="O926" t="s">
        <v>22</v>
      </c>
    </row>
    <row r="927" spans="1:15" x14ac:dyDescent="0.2">
      <c r="A927" t="s">
        <v>1288</v>
      </c>
      <c r="B927" t="s">
        <v>377</v>
      </c>
      <c r="C927">
        <v>41</v>
      </c>
      <c r="D927" t="s">
        <v>70</v>
      </c>
      <c r="E927" t="s">
        <v>26</v>
      </c>
      <c r="F927" t="s">
        <v>18</v>
      </c>
      <c r="G927" s="2">
        <v>45953</v>
      </c>
      <c r="H927" t="s">
        <v>28</v>
      </c>
      <c r="I927" s="3">
        <v>4475872</v>
      </c>
      <c r="J927">
        <v>713</v>
      </c>
      <c r="K927" t="s">
        <v>34</v>
      </c>
      <c r="L927" t="s">
        <v>21</v>
      </c>
      <c r="M927">
        <v>33</v>
      </c>
      <c r="N927" s="3">
        <v>41388.239999999998</v>
      </c>
      <c r="O927" t="s">
        <v>22</v>
      </c>
    </row>
    <row r="928" spans="1:15" x14ac:dyDescent="0.2">
      <c r="A928" t="s">
        <v>1289</v>
      </c>
      <c r="B928" t="s">
        <v>226</v>
      </c>
      <c r="C928">
        <v>66</v>
      </c>
      <c r="D928" t="s">
        <v>16</v>
      </c>
      <c r="E928" t="s">
        <v>26</v>
      </c>
      <c r="F928" t="s">
        <v>27</v>
      </c>
      <c r="G928" s="2">
        <v>45954</v>
      </c>
      <c r="H928" t="s">
        <v>28</v>
      </c>
      <c r="I928" s="3">
        <v>911259</v>
      </c>
      <c r="J928">
        <v>687</v>
      </c>
      <c r="K928" t="s">
        <v>20</v>
      </c>
      <c r="L928" t="s">
        <v>38</v>
      </c>
      <c r="M928">
        <v>29</v>
      </c>
      <c r="N928" s="3">
        <v>1156.54</v>
      </c>
      <c r="O928" t="s">
        <v>22</v>
      </c>
    </row>
    <row r="929" spans="1:15" x14ac:dyDescent="0.2">
      <c r="A929" t="s">
        <v>1290</v>
      </c>
      <c r="B929" t="s">
        <v>201</v>
      </c>
      <c r="C929">
        <v>25</v>
      </c>
      <c r="D929" t="s">
        <v>89</v>
      </c>
      <c r="E929" t="s">
        <v>17</v>
      </c>
      <c r="F929" t="s">
        <v>18</v>
      </c>
      <c r="G929" s="2">
        <v>46064</v>
      </c>
      <c r="H929" t="s">
        <v>44</v>
      </c>
      <c r="I929" s="3">
        <v>860326</v>
      </c>
      <c r="J929">
        <v>651</v>
      </c>
      <c r="K929" t="s">
        <v>57</v>
      </c>
      <c r="L929" t="s">
        <v>45</v>
      </c>
      <c r="M929">
        <v>114</v>
      </c>
      <c r="N929" s="3">
        <v>4845.59</v>
      </c>
      <c r="O929" t="s">
        <v>22</v>
      </c>
    </row>
    <row r="930" spans="1:15" x14ac:dyDescent="0.2">
      <c r="A930" t="s">
        <v>1291</v>
      </c>
      <c r="B930" t="s">
        <v>36</v>
      </c>
      <c r="C930">
        <v>26</v>
      </c>
      <c r="D930" t="s">
        <v>37</v>
      </c>
      <c r="E930" t="s">
        <v>17</v>
      </c>
      <c r="F930" t="s">
        <v>27</v>
      </c>
      <c r="G930" s="2">
        <v>46062</v>
      </c>
      <c r="H930" t="s">
        <v>28</v>
      </c>
      <c r="I930" s="3">
        <v>1495749</v>
      </c>
      <c r="J930">
        <v>687</v>
      </c>
      <c r="K930" t="s">
        <v>20</v>
      </c>
      <c r="L930" t="s">
        <v>58</v>
      </c>
      <c r="M930">
        <v>79</v>
      </c>
      <c r="N930" s="3">
        <v>6523.06</v>
      </c>
      <c r="O930" t="s">
        <v>22</v>
      </c>
    </row>
    <row r="931" spans="1:15" x14ac:dyDescent="0.2">
      <c r="A931" t="s">
        <v>1292</v>
      </c>
      <c r="B931" t="s">
        <v>578</v>
      </c>
      <c r="C931">
        <v>58</v>
      </c>
      <c r="D931" t="s">
        <v>48</v>
      </c>
      <c r="E931" t="s">
        <v>26</v>
      </c>
      <c r="F931" t="s">
        <v>27</v>
      </c>
      <c r="G931" s="2">
        <v>46003</v>
      </c>
      <c r="H931" t="s">
        <v>28</v>
      </c>
      <c r="I931" s="3">
        <v>1206277</v>
      </c>
      <c r="J931">
        <v>750</v>
      </c>
      <c r="K931" t="s">
        <v>20</v>
      </c>
      <c r="L931" t="s">
        <v>30</v>
      </c>
      <c r="M931">
        <v>23</v>
      </c>
      <c r="N931" s="3">
        <v>11665.36</v>
      </c>
      <c r="O931" t="s">
        <v>22</v>
      </c>
    </row>
    <row r="932" spans="1:15" x14ac:dyDescent="0.2">
      <c r="A932" t="s">
        <v>1293</v>
      </c>
      <c r="B932" t="s">
        <v>144</v>
      </c>
      <c r="C932">
        <v>42</v>
      </c>
      <c r="D932" t="s">
        <v>70</v>
      </c>
      <c r="E932" t="s">
        <v>26</v>
      </c>
      <c r="F932" t="s">
        <v>27</v>
      </c>
      <c r="G932" s="2">
        <v>46077</v>
      </c>
      <c r="H932" t="s">
        <v>28</v>
      </c>
      <c r="I932" s="3">
        <v>2476941</v>
      </c>
      <c r="J932">
        <v>695</v>
      </c>
      <c r="K932" t="s">
        <v>20</v>
      </c>
      <c r="L932" t="s">
        <v>45</v>
      </c>
      <c r="M932">
        <v>106</v>
      </c>
      <c r="N932" s="3">
        <v>10014.969999999999</v>
      </c>
      <c r="O932" t="s">
        <v>22</v>
      </c>
    </row>
    <row r="933" spans="1:15" x14ac:dyDescent="0.2">
      <c r="A933" t="s">
        <v>1294</v>
      </c>
      <c r="B933" t="s">
        <v>183</v>
      </c>
      <c r="C933">
        <v>38</v>
      </c>
      <c r="D933" t="s">
        <v>48</v>
      </c>
      <c r="E933" t="s">
        <v>26</v>
      </c>
      <c r="F933" t="s">
        <v>27</v>
      </c>
      <c r="G933" s="2">
        <v>45839</v>
      </c>
      <c r="H933" t="s">
        <v>28</v>
      </c>
      <c r="I933" s="3">
        <v>1668180</v>
      </c>
      <c r="J933">
        <v>653</v>
      </c>
      <c r="K933" t="s">
        <v>34</v>
      </c>
      <c r="L933" t="s">
        <v>38</v>
      </c>
      <c r="M933">
        <v>3</v>
      </c>
      <c r="N933" s="3">
        <v>13147.45</v>
      </c>
      <c r="O933" t="s">
        <v>22</v>
      </c>
    </row>
    <row r="934" spans="1:15" x14ac:dyDescent="0.2">
      <c r="A934" t="s">
        <v>1295</v>
      </c>
      <c r="B934" t="s">
        <v>305</v>
      </c>
      <c r="C934">
        <v>34</v>
      </c>
      <c r="D934" t="s">
        <v>105</v>
      </c>
      <c r="E934" t="s">
        <v>26</v>
      </c>
      <c r="F934" t="s">
        <v>27</v>
      </c>
      <c r="G934" s="2">
        <v>45658</v>
      </c>
      <c r="H934" t="s">
        <v>44</v>
      </c>
      <c r="I934" s="3">
        <v>324723</v>
      </c>
      <c r="J934">
        <v>835</v>
      </c>
      <c r="K934" t="s">
        <v>57</v>
      </c>
      <c r="L934" t="s">
        <v>58</v>
      </c>
      <c r="M934">
        <v>101</v>
      </c>
      <c r="N934" s="3">
        <v>7390.09</v>
      </c>
      <c r="O934" t="s">
        <v>22</v>
      </c>
    </row>
    <row r="935" spans="1:15" x14ac:dyDescent="0.2">
      <c r="A935" t="s">
        <v>1296</v>
      </c>
      <c r="B935" t="s">
        <v>1297</v>
      </c>
      <c r="C935">
        <v>30</v>
      </c>
      <c r="D935" t="s">
        <v>48</v>
      </c>
      <c r="E935" t="s">
        <v>26</v>
      </c>
      <c r="F935" t="s">
        <v>43</v>
      </c>
      <c r="G935" s="2">
        <v>46224</v>
      </c>
      <c r="H935" t="s">
        <v>52</v>
      </c>
      <c r="I935" s="3">
        <v>3268967</v>
      </c>
      <c r="J935">
        <v>660</v>
      </c>
      <c r="K935" t="s">
        <v>34</v>
      </c>
      <c r="L935" t="s">
        <v>58</v>
      </c>
      <c r="M935">
        <v>120</v>
      </c>
      <c r="N935" s="3">
        <v>24527.94</v>
      </c>
      <c r="O935" t="s">
        <v>22</v>
      </c>
    </row>
    <row r="936" spans="1:15" x14ac:dyDescent="0.2">
      <c r="A936" t="s">
        <v>1298</v>
      </c>
      <c r="B936" t="s">
        <v>171</v>
      </c>
      <c r="C936">
        <v>66</v>
      </c>
      <c r="D936" t="s">
        <v>37</v>
      </c>
      <c r="E936" t="s">
        <v>26</v>
      </c>
      <c r="F936" t="s">
        <v>27</v>
      </c>
      <c r="G936" s="2">
        <v>46028</v>
      </c>
      <c r="H936" t="s">
        <v>28</v>
      </c>
      <c r="I936" s="3">
        <v>3976904</v>
      </c>
      <c r="J936">
        <v>847</v>
      </c>
      <c r="K936" t="s">
        <v>34</v>
      </c>
      <c r="L936" t="s">
        <v>38</v>
      </c>
      <c r="M936">
        <v>93</v>
      </c>
      <c r="N936" s="3">
        <v>18516.68</v>
      </c>
      <c r="O936" t="s">
        <v>22</v>
      </c>
    </row>
    <row r="937" spans="1:15" x14ac:dyDescent="0.2">
      <c r="A937" t="s">
        <v>1299</v>
      </c>
      <c r="B937" t="s">
        <v>478</v>
      </c>
      <c r="C937">
        <v>33</v>
      </c>
      <c r="D937" t="s">
        <v>16</v>
      </c>
      <c r="E937" t="s">
        <v>26</v>
      </c>
      <c r="F937" t="s">
        <v>27</v>
      </c>
      <c r="G937" s="2">
        <v>46088</v>
      </c>
      <c r="H937" t="s">
        <v>19</v>
      </c>
      <c r="I937" s="3">
        <v>1783017</v>
      </c>
      <c r="J937">
        <v>707</v>
      </c>
      <c r="K937" t="s">
        <v>34</v>
      </c>
      <c r="L937" t="s">
        <v>58</v>
      </c>
      <c r="M937">
        <v>45</v>
      </c>
      <c r="N937" s="3">
        <v>6607.49</v>
      </c>
      <c r="O937" t="s">
        <v>22</v>
      </c>
    </row>
    <row r="938" spans="1:15" x14ac:dyDescent="0.2">
      <c r="A938" t="s">
        <v>1300</v>
      </c>
      <c r="B938" t="s">
        <v>771</v>
      </c>
      <c r="C938">
        <v>51</v>
      </c>
      <c r="D938" t="s">
        <v>55</v>
      </c>
      <c r="E938" t="s">
        <v>83</v>
      </c>
      <c r="F938" t="s">
        <v>27</v>
      </c>
      <c r="G938" s="2">
        <v>45966</v>
      </c>
      <c r="H938" t="s">
        <v>28</v>
      </c>
      <c r="I938" s="3">
        <v>1042515</v>
      </c>
      <c r="J938">
        <v>814</v>
      </c>
      <c r="K938" t="s">
        <v>86</v>
      </c>
      <c r="L938" t="s">
        <v>38</v>
      </c>
      <c r="M938">
        <v>8</v>
      </c>
      <c r="N938" s="3">
        <v>21687.98</v>
      </c>
      <c r="O938" t="s">
        <v>22</v>
      </c>
    </row>
    <row r="939" spans="1:15" x14ac:dyDescent="0.2">
      <c r="A939" t="s">
        <v>1301</v>
      </c>
      <c r="B939" t="s">
        <v>921</v>
      </c>
      <c r="C939">
        <v>50</v>
      </c>
      <c r="D939" t="s">
        <v>25</v>
      </c>
      <c r="E939" t="s">
        <v>17</v>
      </c>
      <c r="F939" t="s">
        <v>100</v>
      </c>
      <c r="G939" s="2">
        <v>45794</v>
      </c>
      <c r="H939" t="s">
        <v>28</v>
      </c>
      <c r="I939" s="3">
        <v>1643196</v>
      </c>
      <c r="J939">
        <v>620</v>
      </c>
      <c r="K939" t="s">
        <v>92</v>
      </c>
      <c r="L939" t="s">
        <v>58</v>
      </c>
      <c r="M939">
        <v>86</v>
      </c>
      <c r="N939" s="3">
        <v>78578.789999999994</v>
      </c>
      <c r="O939" t="s">
        <v>22</v>
      </c>
    </row>
    <row r="940" spans="1:15" x14ac:dyDescent="0.2">
      <c r="A940" t="s">
        <v>1302</v>
      </c>
      <c r="B940" t="s">
        <v>371</v>
      </c>
      <c r="C940">
        <v>23</v>
      </c>
      <c r="D940" t="s">
        <v>128</v>
      </c>
      <c r="E940" t="s">
        <v>56</v>
      </c>
      <c r="F940" t="s">
        <v>27</v>
      </c>
      <c r="G940" s="2">
        <v>45859</v>
      </c>
      <c r="H940" t="s">
        <v>28</v>
      </c>
      <c r="I940" s="3">
        <v>1285211</v>
      </c>
      <c r="J940">
        <v>760</v>
      </c>
      <c r="K940" t="s">
        <v>78</v>
      </c>
      <c r="L940" t="s">
        <v>21</v>
      </c>
      <c r="M940">
        <v>117</v>
      </c>
      <c r="N940" s="3">
        <v>4416.3900000000003</v>
      </c>
      <c r="O940" t="s">
        <v>22</v>
      </c>
    </row>
    <row r="941" spans="1:15" x14ac:dyDescent="0.2">
      <c r="A941" t="s">
        <v>1303</v>
      </c>
      <c r="B941" t="s">
        <v>104</v>
      </c>
      <c r="C941">
        <v>50</v>
      </c>
      <c r="D941" t="s">
        <v>51</v>
      </c>
      <c r="E941" t="s">
        <v>26</v>
      </c>
      <c r="F941" t="s">
        <v>27</v>
      </c>
      <c r="G941" s="2">
        <v>46093</v>
      </c>
      <c r="H941" t="s">
        <v>28</v>
      </c>
      <c r="I941" s="3">
        <v>2439568</v>
      </c>
      <c r="J941">
        <v>736</v>
      </c>
      <c r="K941" t="s">
        <v>86</v>
      </c>
      <c r="L941" t="s">
        <v>38</v>
      </c>
      <c r="M941">
        <v>29</v>
      </c>
      <c r="N941" s="3">
        <v>52005.43</v>
      </c>
      <c r="O941" t="s">
        <v>22</v>
      </c>
    </row>
    <row r="942" spans="1:15" x14ac:dyDescent="0.2">
      <c r="A942" t="s">
        <v>1304</v>
      </c>
      <c r="B942" t="s">
        <v>1165</v>
      </c>
      <c r="C942">
        <v>26</v>
      </c>
      <c r="D942" t="s">
        <v>55</v>
      </c>
      <c r="E942" t="s">
        <v>26</v>
      </c>
      <c r="F942" t="s">
        <v>43</v>
      </c>
      <c r="G942" s="2">
        <v>45970</v>
      </c>
      <c r="H942" t="s">
        <v>28</v>
      </c>
      <c r="I942" s="3">
        <v>4184740</v>
      </c>
      <c r="J942">
        <v>638</v>
      </c>
      <c r="K942" t="s">
        <v>57</v>
      </c>
      <c r="L942" t="s">
        <v>45</v>
      </c>
      <c r="M942">
        <v>2</v>
      </c>
      <c r="N942" s="3">
        <v>4852.99</v>
      </c>
      <c r="O942" t="s">
        <v>22</v>
      </c>
    </row>
    <row r="943" spans="1:15" x14ac:dyDescent="0.2">
      <c r="A943" t="s">
        <v>1305</v>
      </c>
      <c r="B943" t="s">
        <v>321</v>
      </c>
      <c r="C943">
        <v>49</v>
      </c>
      <c r="D943" t="s">
        <v>25</v>
      </c>
      <c r="E943" t="s">
        <v>26</v>
      </c>
      <c r="F943" t="s">
        <v>100</v>
      </c>
      <c r="G943" s="2">
        <v>45774</v>
      </c>
      <c r="H943" t="s">
        <v>19</v>
      </c>
      <c r="I943" s="3">
        <v>897122</v>
      </c>
      <c r="J943">
        <v>828</v>
      </c>
      <c r="K943" t="s">
        <v>78</v>
      </c>
      <c r="L943" t="s">
        <v>21</v>
      </c>
      <c r="M943">
        <v>105</v>
      </c>
      <c r="N943" s="3">
        <v>39373.26</v>
      </c>
      <c r="O943" t="s">
        <v>22</v>
      </c>
    </row>
    <row r="944" spans="1:15" x14ac:dyDescent="0.2">
      <c r="A944" t="s">
        <v>1306</v>
      </c>
      <c r="B944" t="s">
        <v>248</v>
      </c>
      <c r="C944">
        <v>28</v>
      </c>
      <c r="D944" t="s">
        <v>42</v>
      </c>
      <c r="E944" t="s">
        <v>26</v>
      </c>
      <c r="F944" t="s">
        <v>27</v>
      </c>
      <c r="G944" s="2">
        <v>46232</v>
      </c>
      <c r="H944" t="s">
        <v>52</v>
      </c>
      <c r="I944" s="3">
        <v>4032164</v>
      </c>
      <c r="J944">
        <v>771</v>
      </c>
      <c r="K944" t="s">
        <v>78</v>
      </c>
      <c r="L944" t="s">
        <v>45</v>
      </c>
      <c r="M944">
        <v>113</v>
      </c>
      <c r="N944" s="3">
        <v>5048.1000000000004</v>
      </c>
      <c r="O944" t="s">
        <v>22</v>
      </c>
    </row>
    <row r="945" spans="1:15" x14ac:dyDescent="0.2">
      <c r="A945" t="s">
        <v>1307</v>
      </c>
      <c r="B945" t="s">
        <v>332</v>
      </c>
      <c r="C945">
        <v>64</v>
      </c>
      <c r="D945" t="s">
        <v>70</v>
      </c>
      <c r="E945" t="s">
        <v>26</v>
      </c>
      <c r="F945" t="s">
        <v>18</v>
      </c>
      <c r="G945" s="2">
        <v>45901</v>
      </c>
      <c r="H945" t="s">
        <v>28</v>
      </c>
      <c r="I945" s="3">
        <v>2011331</v>
      </c>
      <c r="J945">
        <v>603</v>
      </c>
      <c r="K945" t="s">
        <v>78</v>
      </c>
      <c r="L945" t="s">
        <v>58</v>
      </c>
      <c r="M945">
        <v>50</v>
      </c>
      <c r="N945" s="3">
        <v>20009.16</v>
      </c>
      <c r="O945" t="s">
        <v>22</v>
      </c>
    </row>
    <row r="946" spans="1:15" x14ac:dyDescent="0.2">
      <c r="A946" t="s">
        <v>1308</v>
      </c>
      <c r="B946" t="s">
        <v>1047</v>
      </c>
      <c r="C946">
        <v>65</v>
      </c>
      <c r="D946" t="s">
        <v>70</v>
      </c>
      <c r="E946" t="s">
        <v>56</v>
      </c>
      <c r="F946" t="s">
        <v>18</v>
      </c>
      <c r="G946" s="2">
        <v>46194</v>
      </c>
      <c r="H946" t="s">
        <v>33</v>
      </c>
      <c r="I946" s="3">
        <v>2127329</v>
      </c>
      <c r="J946">
        <v>659</v>
      </c>
      <c r="K946" t="s">
        <v>92</v>
      </c>
      <c r="L946" t="s">
        <v>45</v>
      </c>
      <c r="M946">
        <v>109</v>
      </c>
      <c r="N946" s="3">
        <v>10814.19</v>
      </c>
      <c r="O946" t="s">
        <v>335</v>
      </c>
    </row>
    <row r="947" spans="1:15" x14ac:dyDescent="0.2">
      <c r="A947" t="s">
        <v>1309</v>
      </c>
      <c r="B947" t="s">
        <v>501</v>
      </c>
      <c r="C947">
        <v>63</v>
      </c>
      <c r="D947" t="s">
        <v>16</v>
      </c>
      <c r="E947" t="s">
        <v>17</v>
      </c>
      <c r="F947" t="s">
        <v>43</v>
      </c>
      <c r="G947" s="2">
        <v>46259</v>
      </c>
      <c r="H947" t="s">
        <v>52</v>
      </c>
      <c r="I947" s="3">
        <v>3142970</v>
      </c>
      <c r="J947">
        <v>713</v>
      </c>
      <c r="K947" t="s">
        <v>34</v>
      </c>
      <c r="L947" t="s">
        <v>21</v>
      </c>
      <c r="M947">
        <v>65</v>
      </c>
      <c r="N947" s="3">
        <v>1374</v>
      </c>
      <c r="O947" t="s">
        <v>39</v>
      </c>
    </row>
    <row r="948" spans="1:15" x14ac:dyDescent="0.2">
      <c r="A948" t="s">
        <v>1310</v>
      </c>
      <c r="B948" t="s">
        <v>512</v>
      </c>
      <c r="C948">
        <v>64</v>
      </c>
      <c r="D948" t="s">
        <v>70</v>
      </c>
      <c r="E948" t="s">
        <v>17</v>
      </c>
      <c r="F948" t="s">
        <v>27</v>
      </c>
      <c r="G948" s="2">
        <v>45732</v>
      </c>
      <c r="H948" t="s">
        <v>19</v>
      </c>
      <c r="I948" s="3">
        <v>565315</v>
      </c>
      <c r="J948">
        <v>792</v>
      </c>
      <c r="K948" t="s">
        <v>67</v>
      </c>
      <c r="L948" t="s">
        <v>38</v>
      </c>
      <c r="M948">
        <v>108</v>
      </c>
      <c r="N948" s="3">
        <v>66925.14</v>
      </c>
      <c r="O948" t="s">
        <v>22</v>
      </c>
    </row>
    <row r="949" spans="1:15" x14ac:dyDescent="0.2">
      <c r="A949" t="s">
        <v>1311</v>
      </c>
      <c r="B949" t="s">
        <v>864</v>
      </c>
      <c r="C949">
        <v>53</v>
      </c>
      <c r="D949" t="s">
        <v>89</v>
      </c>
      <c r="E949" t="s">
        <v>26</v>
      </c>
      <c r="F949" t="s">
        <v>18</v>
      </c>
      <c r="G949" s="2">
        <v>46043</v>
      </c>
      <c r="H949" t="s">
        <v>44</v>
      </c>
      <c r="I949" s="3">
        <v>400594</v>
      </c>
      <c r="J949">
        <v>745</v>
      </c>
      <c r="K949" t="s">
        <v>29</v>
      </c>
      <c r="L949" t="s">
        <v>30</v>
      </c>
      <c r="M949">
        <v>20</v>
      </c>
      <c r="N949" s="3">
        <v>3497.4</v>
      </c>
      <c r="O949" t="s">
        <v>22</v>
      </c>
    </row>
    <row r="950" spans="1:15" x14ac:dyDescent="0.2">
      <c r="A950" t="s">
        <v>1312</v>
      </c>
      <c r="B950" t="s">
        <v>484</v>
      </c>
      <c r="C950">
        <v>37</v>
      </c>
      <c r="D950" t="s">
        <v>25</v>
      </c>
      <c r="E950" t="s">
        <v>83</v>
      </c>
      <c r="F950" t="s">
        <v>27</v>
      </c>
      <c r="G950" s="2">
        <v>45867</v>
      </c>
      <c r="H950" t="s">
        <v>28</v>
      </c>
      <c r="I950" s="3">
        <v>970892</v>
      </c>
      <c r="J950">
        <v>650</v>
      </c>
      <c r="K950" t="s">
        <v>57</v>
      </c>
      <c r="L950" t="s">
        <v>45</v>
      </c>
      <c r="M950">
        <v>52</v>
      </c>
      <c r="N950" s="3">
        <v>2361.19</v>
      </c>
      <c r="O950" t="s">
        <v>22</v>
      </c>
    </row>
    <row r="951" spans="1:15" x14ac:dyDescent="0.2">
      <c r="A951" t="s">
        <v>1313</v>
      </c>
      <c r="B951" t="s">
        <v>293</v>
      </c>
      <c r="C951">
        <v>68</v>
      </c>
      <c r="D951" t="s">
        <v>16</v>
      </c>
      <c r="E951" t="s">
        <v>26</v>
      </c>
      <c r="F951" t="s">
        <v>43</v>
      </c>
      <c r="G951" s="2">
        <v>46132</v>
      </c>
      <c r="H951" t="s">
        <v>52</v>
      </c>
      <c r="I951" s="3">
        <v>4313903</v>
      </c>
      <c r="J951">
        <v>793</v>
      </c>
      <c r="K951" t="s">
        <v>67</v>
      </c>
      <c r="L951" t="s">
        <v>30</v>
      </c>
      <c r="M951">
        <v>85</v>
      </c>
      <c r="N951" s="3">
        <v>4576.04</v>
      </c>
      <c r="O951" t="s">
        <v>22</v>
      </c>
    </row>
    <row r="952" spans="1:15" x14ac:dyDescent="0.2">
      <c r="A952" t="s">
        <v>1314</v>
      </c>
      <c r="B952" t="s">
        <v>1297</v>
      </c>
      <c r="C952">
        <v>31</v>
      </c>
      <c r="D952" t="s">
        <v>75</v>
      </c>
      <c r="E952" t="s">
        <v>26</v>
      </c>
      <c r="F952" t="s">
        <v>18</v>
      </c>
      <c r="G952" s="2">
        <v>46075</v>
      </c>
      <c r="H952" t="s">
        <v>33</v>
      </c>
      <c r="I952" s="3">
        <v>4209015</v>
      </c>
      <c r="J952">
        <v>644</v>
      </c>
      <c r="K952" t="s">
        <v>92</v>
      </c>
      <c r="L952" t="s">
        <v>45</v>
      </c>
      <c r="M952">
        <v>37</v>
      </c>
      <c r="N952" s="3">
        <v>127747.33</v>
      </c>
      <c r="O952" t="s">
        <v>22</v>
      </c>
    </row>
    <row r="953" spans="1:15" x14ac:dyDescent="0.2">
      <c r="A953" t="s">
        <v>1315</v>
      </c>
      <c r="B953" t="s">
        <v>41</v>
      </c>
      <c r="C953">
        <v>33</v>
      </c>
      <c r="D953" t="s">
        <v>89</v>
      </c>
      <c r="E953" t="s">
        <v>26</v>
      </c>
      <c r="F953" t="s">
        <v>27</v>
      </c>
      <c r="G953" s="2">
        <v>46004</v>
      </c>
      <c r="H953" t="s">
        <v>33</v>
      </c>
      <c r="I953" s="3">
        <v>2382942</v>
      </c>
      <c r="J953">
        <v>800</v>
      </c>
      <c r="K953" t="s">
        <v>92</v>
      </c>
      <c r="L953" t="s">
        <v>45</v>
      </c>
      <c r="M953">
        <v>72</v>
      </c>
      <c r="N953" s="3">
        <v>2400.9</v>
      </c>
      <c r="O953" t="s">
        <v>22</v>
      </c>
    </row>
    <row r="954" spans="1:15" x14ac:dyDescent="0.2">
      <c r="A954" t="s">
        <v>1316</v>
      </c>
      <c r="B954" t="s">
        <v>54</v>
      </c>
      <c r="C954">
        <v>70</v>
      </c>
      <c r="D954" t="s">
        <v>70</v>
      </c>
      <c r="E954" t="s">
        <v>56</v>
      </c>
      <c r="F954" t="s">
        <v>18</v>
      </c>
      <c r="G954" s="2">
        <v>46186</v>
      </c>
      <c r="H954" t="s">
        <v>28</v>
      </c>
      <c r="I954" s="3">
        <v>2922452</v>
      </c>
      <c r="J954">
        <v>764</v>
      </c>
      <c r="K954" t="s">
        <v>29</v>
      </c>
      <c r="L954" t="s">
        <v>38</v>
      </c>
      <c r="M954">
        <v>27</v>
      </c>
      <c r="N954" s="3">
        <v>10798.43</v>
      </c>
      <c r="O954" t="s">
        <v>22</v>
      </c>
    </row>
    <row r="955" spans="1:15" x14ac:dyDescent="0.2">
      <c r="A955" t="s">
        <v>1317</v>
      </c>
      <c r="B955" t="s">
        <v>15</v>
      </c>
      <c r="C955">
        <v>31</v>
      </c>
      <c r="D955" t="s">
        <v>48</v>
      </c>
      <c r="E955" t="s">
        <v>83</v>
      </c>
      <c r="F955" t="s">
        <v>27</v>
      </c>
      <c r="G955" s="2">
        <v>45836</v>
      </c>
      <c r="H955" t="s">
        <v>28</v>
      </c>
      <c r="I955" s="3">
        <v>2464979</v>
      </c>
      <c r="J955">
        <v>786</v>
      </c>
      <c r="K955" t="s">
        <v>78</v>
      </c>
      <c r="L955" t="s">
        <v>58</v>
      </c>
      <c r="M955">
        <v>47</v>
      </c>
      <c r="N955" s="3">
        <v>2753.64</v>
      </c>
      <c r="O955" t="s">
        <v>22</v>
      </c>
    </row>
    <row r="956" spans="1:15" x14ac:dyDescent="0.2">
      <c r="A956" t="s">
        <v>1318</v>
      </c>
      <c r="B956" t="s">
        <v>540</v>
      </c>
      <c r="C956">
        <v>51</v>
      </c>
      <c r="D956" t="s">
        <v>37</v>
      </c>
      <c r="E956" t="s">
        <v>26</v>
      </c>
      <c r="F956" t="s">
        <v>18</v>
      </c>
      <c r="G956" s="2">
        <v>45839</v>
      </c>
      <c r="H956" t="s">
        <v>33</v>
      </c>
      <c r="I956" s="3">
        <v>3655851</v>
      </c>
      <c r="J956">
        <v>678</v>
      </c>
      <c r="K956" t="s">
        <v>34</v>
      </c>
      <c r="L956" t="s">
        <v>21</v>
      </c>
      <c r="M956">
        <v>99</v>
      </c>
      <c r="N956" s="3">
        <v>3296.8</v>
      </c>
      <c r="O956" t="s">
        <v>22</v>
      </c>
    </row>
    <row r="957" spans="1:15" x14ac:dyDescent="0.2">
      <c r="A957" t="s">
        <v>1319</v>
      </c>
      <c r="B957" t="s">
        <v>516</v>
      </c>
      <c r="C957">
        <v>48</v>
      </c>
      <c r="D957" t="s">
        <v>48</v>
      </c>
      <c r="E957" t="s">
        <v>56</v>
      </c>
      <c r="F957" t="s">
        <v>27</v>
      </c>
      <c r="G957" s="2">
        <v>45682</v>
      </c>
      <c r="H957" t="s">
        <v>28</v>
      </c>
      <c r="I957" s="3">
        <v>446211</v>
      </c>
      <c r="J957">
        <v>821</v>
      </c>
      <c r="K957" t="s">
        <v>29</v>
      </c>
      <c r="L957" t="s">
        <v>21</v>
      </c>
      <c r="M957">
        <v>6</v>
      </c>
      <c r="N957" s="3">
        <v>1670.05</v>
      </c>
      <c r="O957" t="s">
        <v>22</v>
      </c>
    </row>
    <row r="958" spans="1:15" x14ac:dyDescent="0.2">
      <c r="A958" t="s">
        <v>1320</v>
      </c>
      <c r="B958" t="s">
        <v>96</v>
      </c>
      <c r="C958">
        <v>64</v>
      </c>
      <c r="D958" t="s">
        <v>89</v>
      </c>
      <c r="E958" t="s">
        <v>56</v>
      </c>
      <c r="F958" t="s">
        <v>27</v>
      </c>
      <c r="G958" s="2">
        <v>45837</v>
      </c>
      <c r="H958" t="s">
        <v>28</v>
      </c>
      <c r="I958" s="3">
        <v>2086082</v>
      </c>
      <c r="J958">
        <v>737</v>
      </c>
      <c r="K958" t="s">
        <v>67</v>
      </c>
      <c r="L958" t="s">
        <v>21</v>
      </c>
      <c r="M958">
        <v>60</v>
      </c>
      <c r="N958" s="3">
        <v>12468.07</v>
      </c>
      <c r="O958" t="s">
        <v>22</v>
      </c>
    </row>
    <row r="959" spans="1:15" x14ac:dyDescent="0.2">
      <c r="A959" t="s">
        <v>1321</v>
      </c>
      <c r="B959" t="s">
        <v>760</v>
      </c>
      <c r="C959">
        <v>26</v>
      </c>
      <c r="D959" t="s">
        <v>42</v>
      </c>
      <c r="E959" t="s">
        <v>26</v>
      </c>
      <c r="F959" t="s">
        <v>27</v>
      </c>
      <c r="G959" s="2">
        <v>46158</v>
      </c>
      <c r="H959" t="s">
        <v>52</v>
      </c>
      <c r="I959" s="3">
        <v>2487699</v>
      </c>
      <c r="J959">
        <v>677</v>
      </c>
      <c r="K959" t="s">
        <v>67</v>
      </c>
      <c r="L959" t="s">
        <v>58</v>
      </c>
      <c r="M959">
        <v>45</v>
      </c>
      <c r="N959" s="3">
        <v>7560.7</v>
      </c>
      <c r="O959" t="s">
        <v>22</v>
      </c>
    </row>
    <row r="960" spans="1:15" x14ac:dyDescent="0.2">
      <c r="A960" t="s">
        <v>1322</v>
      </c>
      <c r="B960" t="s">
        <v>85</v>
      </c>
      <c r="C960">
        <v>61</v>
      </c>
      <c r="D960" t="s">
        <v>70</v>
      </c>
      <c r="E960" t="s">
        <v>26</v>
      </c>
      <c r="F960" t="s">
        <v>100</v>
      </c>
      <c r="G960" s="2">
        <v>45818</v>
      </c>
      <c r="H960" t="s">
        <v>28</v>
      </c>
      <c r="I960" s="3">
        <v>2063065</v>
      </c>
      <c r="J960">
        <v>621</v>
      </c>
      <c r="K960" t="s">
        <v>29</v>
      </c>
      <c r="L960" t="s">
        <v>30</v>
      </c>
      <c r="M960">
        <v>44</v>
      </c>
      <c r="N960" s="3">
        <v>2730.02</v>
      </c>
      <c r="O960" t="s">
        <v>22</v>
      </c>
    </row>
    <row r="961" spans="1:15" x14ac:dyDescent="0.2">
      <c r="A961" t="s">
        <v>1323</v>
      </c>
      <c r="B961" t="s">
        <v>600</v>
      </c>
      <c r="C961">
        <v>36</v>
      </c>
      <c r="D961" t="s">
        <v>42</v>
      </c>
      <c r="E961" t="s">
        <v>26</v>
      </c>
      <c r="F961" t="s">
        <v>27</v>
      </c>
      <c r="G961" s="2">
        <v>45834</v>
      </c>
      <c r="H961" t="s">
        <v>33</v>
      </c>
      <c r="I961" s="3">
        <v>627332</v>
      </c>
      <c r="J961">
        <v>718</v>
      </c>
      <c r="K961" t="s">
        <v>92</v>
      </c>
      <c r="L961" t="s">
        <v>21</v>
      </c>
      <c r="M961">
        <v>83</v>
      </c>
      <c r="N961" s="3">
        <v>22401.06</v>
      </c>
      <c r="O961" t="s">
        <v>22</v>
      </c>
    </row>
    <row r="962" spans="1:15" x14ac:dyDescent="0.2">
      <c r="A962" t="s">
        <v>1324</v>
      </c>
      <c r="B962" t="s">
        <v>134</v>
      </c>
      <c r="C962">
        <v>24</v>
      </c>
      <c r="D962" t="s">
        <v>42</v>
      </c>
      <c r="E962" t="s">
        <v>83</v>
      </c>
      <c r="F962" t="s">
        <v>27</v>
      </c>
      <c r="G962" s="2">
        <v>45942</v>
      </c>
      <c r="H962" t="s">
        <v>33</v>
      </c>
      <c r="I962" s="3">
        <v>334153</v>
      </c>
      <c r="J962">
        <v>806</v>
      </c>
      <c r="K962" t="s">
        <v>57</v>
      </c>
      <c r="L962" t="s">
        <v>30</v>
      </c>
      <c r="M962">
        <v>18</v>
      </c>
      <c r="N962" s="3">
        <v>25025.65</v>
      </c>
      <c r="O962" t="s">
        <v>22</v>
      </c>
    </row>
    <row r="963" spans="1:15" x14ac:dyDescent="0.2">
      <c r="A963" t="s">
        <v>1325</v>
      </c>
      <c r="B963" t="s">
        <v>318</v>
      </c>
      <c r="C963">
        <v>55</v>
      </c>
      <c r="D963" t="s">
        <v>25</v>
      </c>
      <c r="E963" t="s">
        <v>26</v>
      </c>
      <c r="F963" t="s">
        <v>27</v>
      </c>
      <c r="G963" s="2">
        <v>45720</v>
      </c>
      <c r="H963" t="s">
        <v>19</v>
      </c>
      <c r="I963" s="3">
        <v>1376018</v>
      </c>
      <c r="J963">
        <v>651</v>
      </c>
      <c r="K963" t="s">
        <v>20</v>
      </c>
      <c r="L963" t="s">
        <v>58</v>
      </c>
      <c r="M963">
        <v>120</v>
      </c>
      <c r="N963" s="3">
        <v>13733.31</v>
      </c>
      <c r="O963" t="s">
        <v>22</v>
      </c>
    </row>
    <row r="964" spans="1:15" x14ac:dyDescent="0.2">
      <c r="A964" t="s">
        <v>1326</v>
      </c>
      <c r="B964" t="s">
        <v>840</v>
      </c>
      <c r="C964">
        <v>68</v>
      </c>
      <c r="D964" t="s">
        <v>51</v>
      </c>
      <c r="E964" t="s">
        <v>56</v>
      </c>
      <c r="F964" t="s">
        <v>43</v>
      </c>
      <c r="G964" s="2">
        <v>45813</v>
      </c>
      <c r="H964" t="s">
        <v>28</v>
      </c>
      <c r="I964" s="3">
        <v>4222162</v>
      </c>
      <c r="J964">
        <v>822</v>
      </c>
      <c r="K964" t="s">
        <v>34</v>
      </c>
      <c r="L964" t="s">
        <v>58</v>
      </c>
      <c r="M964">
        <v>65</v>
      </c>
      <c r="N964" s="3">
        <v>30613.72</v>
      </c>
      <c r="O964" t="s">
        <v>22</v>
      </c>
    </row>
    <row r="965" spans="1:15" x14ac:dyDescent="0.2">
      <c r="A965" t="s">
        <v>1327</v>
      </c>
      <c r="B965" t="s">
        <v>138</v>
      </c>
      <c r="C965">
        <v>46</v>
      </c>
      <c r="D965" t="s">
        <v>25</v>
      </c>
      <c r="E965" t="s">
        <v>26</v>
      </c>
      <c r="F965" t="s">
        <v>43</v>
      </c>
      <c r="G965" s="2">
        <v>46126</v>
      </c>
      <c r="H965" t="s">
        <v>28</v>
      </c>
      <c r="I965" s="3">
        <v>4422060</v>
      </c>
      <c r="J965">
        <v>597</v>
      </c>
      <c r="K965" t="s">
        <v>67</v>
      </c>
      <c r="L965" t="s">
        <v>38</v>
      </c>
      <c r="M965">
        <v>25</v>
      </c>
      <c r="N965" s="3">
        <v>6207.66</v>
      </c>
      <c r="O965" t="s">
        <v>22</v>
      </c>
    </row>
    <row r="966" spans="1:15" x14ac:dyDescent="0.2">
      <c r="A966" t="s">
        <v>1328</v>
      </c>
      <c r="B966" t="s">
        <v>325</v>
      </c>
      <c r="C966">
        <v>32</v>
      </c>
      <c r="D966" t="s">
        <v>105</v>
      </c>
      <c r="E966" t="s">
        <v>56</v>
      </c>
      <c r="F966" t="s">
        <v>27</v>
      </c>
      <c r="G966" s="2">
        <v>45706</v>
      </c>
      <c r="H966" t="s">
        <v>33</v>
      </c>
      <c r="I966" s="3">
        <v>1558064</v>
      </c>
      <c r="J966">
        <v>656</v>
      </c>
      <c r="K966" t="s">
        <v>67</v>
      </c>
      <c r="L966" t="s">
        <v>21</v>
      </c>
      <c r="M966">
        <v>27</v>
      </c>
      <c r="N966" s="3">
        <v>12562.78</v>
      </c>
      <c r="O966" t="s">
        <v>22</v>
      </c>
    </row>
    <row r="967" spans="1:15" x14ac:dyDescent="0.2">
      <c r="A967" t="s">
        <v>1329</v>
      </c>
      <c r="B967" t="s">
        <v>152</v>
      </c>
      <c r="C967">
        <v>31</v>
      </c>
      <c r="D967" t="s">
        <v>128</v>
      </c>
      <c r="E967" t="s">
        <v>26</v>
      </c>
      <c r="F967" t="s">
        <v>27</v>
      </c>
      <c r="G967" s="2">
        <v>45741</v>
      </c>
      <c r="H967" t="s">
        <v>44</v>
      </c>
      <c r="I967" s="3">
        <v>328947</v>
      </c>
      <c r="J967">
        <v>624</v>
      </c>
      <c r="K967" t="s">
        <v>29</v>
      </c>
      <c r="L967" t="s">
        <v>38</v>
      </c>
      <c r="M967">
        <v>7</v>
      </c>
      <c r="N967" s="3">
        <v>6232.87</v>
      </c>
      <c r="O967" t="s">
        <v>22</v>
      </c>
    </row>
    <row r="968" spans="1:15" x14ac:dyDescent="0.2">
      <c r="A968" t="s">
        <v>1330</v>
      </c>
      <c r="B968" t="s">
        <v>150</v>
      </c>
      <c r="C968">
        <v>57</v>
      </c>
      <c r="D968" t="s">
        <v>89</v>
      </c>
      <c r="E968" t="s">
        <v>17</v>
      </c>
      <c r="F968" t="s">
        <v>27</v>
      </c>
      <c r="G968" s="2">
        <v>46018</v>
      </c>
      <c r="H968" t="s">
        <v>19</v>
      </c>
      <c r="I968" s="3">
        <v>2203980</v>
      </c>
      <c r="J968">
        <v>719</v>
      </c>
      <c r="K968" t="s">
        <v>34</v>
      </c>
      <c r="L968" t="s">
        <v>21</v>
      </c>
      <c r="M968">
        <v>44</v>
      </c>
      <c r="N968" s="3">
        <v>1839.59</v>
      </c>
      <c r="O968" t="s">
        <v>22</v>
      </c>
    </row>
    <row r="969" spans="1:15" x14ac:dyDescent="0.2">
      <c r="A969" t="s">
        <v>1331</v>
      </c>
      <c r="B969" t="s">
        <v>496</v>
      </c>
      <c r="C969">
        <v>45</v>
      </c>
      <c r="D969" t="s">
        <v>55</v>
      </c>
      <c r="E969" t="s">
        <v>56</v>
      </c>
      <c r="F969" t="s">
        <v>27</v>
      </c>
      <c r="G969" s="2">
        <v>45805</v>
      </c>
      <c r="H969" t="s">
        <v>28</v>
      </c>
      <c r="I969" s="3">
        <v>2788361</v>
      </c>
      <c r="J969">
        <v>756</v>
      </c>
      <c r="K969" t="s">
        <v>29</v>
      </c>
      <c r="L969" t="s">
        <v>58</v>
      </c>
      <c r="M969">
        <v>106</v>
      </c>
      <c r="N969" s="3">
        <v>11273.48</v>
      </c>
      <c r="O969" t="s">
        <v>22</v>
      </c>
    </row>
    <row r="970" spans="1:15" x14ac:dyDescent="0.2">
      <c r="A970" t="s">
        <v>1332</v>
      </c>
      <c r="B970" t="s">
        <v>534</v>
      </c>
      <c r="C970">
        <v>38</v>
      </c>
      <c r="D970" t="s">
        <v>128</v>
      </c>
      <c r="E970" t="s">
        <v>56</v>
      </c>
      <c r="F970" t="s">
        <v>27</v>
      </c>
      <c r="G970" s="2">
        <v>45999</v>
      </c>
      <c r="H970" t="s">
        <v>28</v>
      </c>
      <c r="I970" s="3">
        <v>4219411</v>
      </c>
      <c r="J970">
        <v>801</v>
      </c>
      <c r="K970" t="s">
        <v>78</v>
      </c>
      <c r="L970" t="s">
        <v>58</v>
      </c>
      <c r="M970">
        <v>29</v>
      </c>
      <c r="N970" s="3">
        <v>10578.85</v>
      </c>
      <c r="O970" t="s">
        <v>22</v>
      </c>
    </row>
    <row r="971" spans="1:15" x14ac:dyDescent="0.2">
      <c r="A971" t="s">
        <v>1333</v>
      </c>
      <c r="B971" t="s">
        <v>664</v>
      </c>
      <c r="C971">
        <v>39</v>
      </c>
      <c r="D971" t="s">
        <v>75</v>
      </c>
      <c r="E971" t="s">
        <v>56</v>
      </c>
      <c r="F971" t="s">
        <v>18</v>
      </c>
      <c r="G971" s="2">
        <v>46133</v>
      </c>
      <c r="H971" t="s">
        <v>44</v>
      </c>
      <c r="I971" s="3">
        <v>1218410</v>
      </c>
      <c r="J971">
        <v>671</v>
      </c>
      <c r="K971" t="s">
        <v>34</v>
      </c>
      <c r="M971">
        <v>95</v>
      </c>
      <c r="N971" s="3">
        <v>8675.83</v>
      </c>
      <c r="O971" t="s">
        <v>22</v>
      </c>
    </row>
    <row r="972" spans="1:15" x14ac:dyDescent="0.2">
      <c r="A972" t="s">
        <v>1334</v>
      </c>
      <c r="B972" t="s">
        <v>505</v>
      </c>
      <c r="C972">
        <v>43</v>
      </c>
      <c r="D972" t="s">
        <v>37</v>
      </c>
      <c r="E972" t="s">
        <v>26</v>
      </c>
      <c r="F972" t="s">
        <v>27</v>
      </c>
      <c r="G972" s="2">
        <v>45720</v>
      </c>
      <c r="H972" t="s">
        <v>28</v>
      </c>
      <c r="I972" s="3">
        <v>2660912</v>
      </c>
      <c r="J972">
        <v>601</v>
      </c>
      <c r="K972" t="s">
        <v>78</v>
      </c>
      <c r="L972" t="s">
        <v>45</v>
      </c>
      <c r="M972">
        <v>44</v>
      </c>
      <c r="N972" s="3">
        <v>13260.82</v>
      </c>
      <c r="O972" t="s">
        <v>22</v>
      </c>
    </row>
    <row r="973" spans="1:15" x14ac:dyDescent="0.2">
      <c r="A973" t="s">
        <v>1335</v>
      </c>
      <c r="B973" t="s">
        <v>371</v>
      </c>
      <c r="C973">
        <v>58</v>
      </c>
      <c r="D973" t="s">
        <v>25</v>
      </c>
      <c r="E973" t="s">
        <v>17</v>
      </c>
      <c r="F973" t="s">
        <v>27</v>
      </c>
      <c r="G973" s="2">
        <v>46017</v>
      </c>
      <c r="H973" t="s">
        <v>33</v>
      </c>
      <c r="I973" s="3">
        <v>2849087</v>
      </c>
      <c r="J973">
        <v>751</v>
      </c>
      <c r="K973" t="s">
        <v>67</v>
      </c>
      <c r="L973" t="s">
        <v>58</v>
      </c>
      <c r="M973">
        <v>107</v>
      </c>
      <c r="N973" s="3">
        <v>39438.49</v>
      </c>
      <c r="O973" t="s">
        <v>22</v>
      </c>
    </row>
    <row r="974" spans="1:15" x14ac:dyDescent="0.2">
      <c r="A974" t="s">
        <v>1336</v>
      </c>
      <c r="B974" t="s">
        <v>142</v>
      </c>
      <c r="C974">
        <v>38</v>
      </c>
      <c r="D974" t="s">
        <v>25</v>
      </c>
      <c r="E974" t="s">
        <v>26</v>
      </c>
      <c r="F974" t="s">
        <v>27</v>
      </c>
      <c r="G974" s="2">
        <v>46218</v>
      </c>
      <c r="H974" t="s">
        <v>28</v>
      </c>
      <c r="I974" s="3">
        <v>4186642</v>
      </c>
      <c r="J974">
        <v>671</v>
      </c>
      <c r="K974" t="s">
        <v>92</v>
      </c>
      <c r="L974" t="s">
        <v>58</v>
      </c>
      <c r="M974">
        <v>36</v>
      </c>
      <c r="N974" s="3">
        <v>7225.41</v>
      </c>
      <c r="O974" t="s">
        <v>22</v>
      </c>
    </row>
    <row r="975" spans="1:15" x14ac:dyDescent="0.2">
      <c r="A975" t="s">
        <v>1337</v>
      </c>
      <c r="B975" t="s">
        <v>942</v>
      </c>
      <c r="C975">
        <v>46</v>
      </c>
      <c r="D975" t="s">
        <v>16</v>
      </c>
      <c r="E975" t="s">
        <v>26</v>
      </c>
      <c r="F975" t="s">
        <v>100</v>
      </c>
      <c r="G975" s="2">
        <v>45984</v>
      </c>
      <c r="H975" t="s">
        <v>28</v>
      </c>
      <c r="I975" s="3">
        <v>2717286</v>
      </c>
      <c r="J975">
        <v>771</v>
      </c>
      <c r="K975" t="s">
        <v>78</v>
      </c>
      <c r="L975" t="s">
        <v>30</v>
      </c>
      <c r="M975">
        <v>19</v>
      </c>
      <c r="N975" s="3">
        <v>3277.95</v>
      </c>
      <c r="O975" t="s">
        <v>22</v>
      </c>
    </row>
    <row r="976" spans="1:15" x14ac:dyDescent="0.2">
      <c r="A976" t="s">
        <v>1338</v>
      </c>
      <c r="B976" t="s">
        <v>299</v>
      </c>
      <c r="C976">
        <v>26</v>
      </c>
      <c r="D976" t="s">
        <v>128</v>
      </c>
      <c r="E976" t="s">
        <v>17</v>
      </c>
      <c r="F976" t="s">
        <v>100</v>
      </c>
      <c r="G976" s="2">
        <v>45798</v>
      </c>
      <c r="H976" t="s">
        <v>28</v>
      </c>
      <c r="I976" s="3">
        <v>3617764</v>
      </c>
      <c r="J976">
        <v>656</v>
      </c>
      <c r="K976" t="s">
        <v>34</v>
      </c>
      <c r="L976" t="s">
        <v>30</v>
      </c>
      <c r="M976">
        <v>6</v>
      </c>
      <c r="N976" s="3">
        <v>6904.04</v>
      </c>
      <c r="O976" t="s">
        <v>22</v>
      </c>
    </row>
    <row r="977" spans="1:15" x14ac:dyDescent="0.2">
      <c r="A977" t="s">
        <v>1339</v>
      </c>
      <c r="B977" t="s">
        <v>346</v>
      </c>
      <c r="C977">
        <v>24</v>
      </c>
      <c r="D977" t="s">
        <v>16</v>
      </c>
      <c r="E977" t="s">
        <v>26</v>
      </c>
      <c r="F977" t="s">
        <v>18</v>
      </c>
      <c r="G977" s="2">
        <v>45872</v>
      </c>
      <c r="H977" t="s">
        <v>28</v>
      </c>
      <c r="I977" s="3">
        <v>3861880</v>
      </c>
      <c r="J977">
        <v>758</v>
      </c>
      <c r="K977" t="s">
        <v>86</v>
      </c>
      <c r="L977" t="s">
        <v>38</v>
      </c>
      <c r="M977">
        <v>25</v>
      </c>
      <c r="N977" s="3">
        <v>7756.74</v>
      </c>
      <c r="O977" t="s">
        <v>22</v>
      </c>
    </row>
    <row r="978" spans="1:15" x14ac:dyDescent="0.2">
      <c r="A978" t="s">
        <v>1340</v>
      </c>
      <c r="B978" t="s">
        <v>514</v>
      </c>
      <c r="C978">
        <v>64</v>
      </c>
      <c r="D978" t="s">
        <v>55</v>
      </c>
      <c r="E978" t="s">
        <v>26</v>
      </c>
      <c r="F978" t="s">
        <v>27</v>
      </c>
      <c r="G978" s="2">
        <v>46092</v>
      </c>
      <c r="H978" t="s">
        <v>33</v>
      </c>
      <c r="I978" s="3">
        <v>944934</v>
      </c>
      <c r="J978">
        <v>817</v>
      </c>
      <c r="K978" t="s">
        <v>34</v>
      </c>
      <c r="L978" t="s">
        <v>45</v>
      </c>
      <c r="M978">
        <v>31</v>
      </c>
      <c r="N978" s="3">
        <v>25153.89</v>
      </c>
      <c r="O978" t="s">
        <v>22</v>
      </c>
    </row>
    <row r="979" spans="1:15" x14ac:dyDescent="0.2">
      <c r="A979" t="s">
        <v>1341</v>
      </c>
      <c r="B979" t="s">
        <v>299</v>
      </c>
      <c r="C979">
        <v>49</v>
      </c>
      <c r="D979" t="s">
        <v>16</v>
      </c>
      <c r="E979" t="s">
        <v>83</v>
      </c>
      <c r="F979" t="s">
        <v>27</v>
      </c>
      <c r="G979" s="2">
        <v>45975</v>
      </c>
      <c r="H979" t="s">
        <v>19</v>
      </c>
      <c r="I979" s="3">
        <v>1290835</v>
      </c>
      <c r="J979">
        <v>714</v>
      </c>
      <c r="K979" t="s">
        <v>29</v>
      </c>
      <c r="L979" t="s">
        <v>45</v>
      </c>
      <c r="M979">
        <v>9</v>
      </c>
      <c r="N979" s="3">
        <v>10016.57</v>
      </c>
      <c r="O979" t="s">
        <v>22</v>
      </c>
    </row>
    <row r="980" spans="1:15" x14ac:dyDescent="0.2">
      <c r="A980" t="s">
        <v>1342</v>
      </c>
      <c r="B980" t="s">
        <v>787</v>
      </c>
      <c r="C980">
        <v>54</v>
      </c>
      <c r="D980" t="s">
        <v>128</v>
      </c>
      <c r="E980" t="s">
        <v>26</v>
      </c>
      <c r="F980" t="s">
        <v>27</v>
      </c>
      <c r="G980" s="2">
        <v>45689</v>
      </c>
      <c r="H980" t="s">
        <v>28</v>
      </c>
      <c r="I980" s="3">
        <v>2128292</v>
      </c>
      <c r="J980">
        <v>598</v>
      </c>
      <c r="K980" t="s">
        <v>78</v>
      </c>
      <c r="L980" t="s">
        <v>58</v>
      </c>
      <c r="M980">
        <v>84</v>
      </c>
      <c r="N980" s="3">
        <v>2682.22</v>
      </c>
      <c r="O980" t="s">
        <v>22</v>
      </c>
    </row>
    <row r="981" spans="1:15" x14ac:dyDescent="0.2">
      <c r="A981" t="s">
        <v>1343</v>
      </c>
      <c r="B981" t="s">
        <v>268</v>
      </c>
      <c r="C981">
        <v>37</v>
      </c>
      <c r="D981" t="s">
        <v>89</v>
      </c>
      <c r="E981" t="s">
        <v>17</v>
      </c>
      <c r="F981" t="s">
        <v>27</v>
      </c>
      <c r="G981" s="2">
        <v>45942</v>
      </c>
      <c r="H981" t="s">
        <v>52</v>
      </c>
      <c r="I981" s="3">
        <v>392617</v>
      </c>
      <c r="J981">
        <v>662</v>
      </c>
      <c r="K981" t="s">
        <v>57</v>
      </c>
      <c r="L981" t="s">
        <v>58</v>
      </c>
      <c r="M981">
        <v>74</v>
      </c>
      <c r="N981" s="3">
        <v>20862.96</v>
      </c>
      <c r="O981" t="s">
        <v>22</v>
      </c>
    </row>
    <row r="982" spans="1:15" x14ac:dyDescent="0.2">
      <c r="A982" t="s">
        <v>1344</v>
      </c>
      <c r="B982" t="s">
        <v>744</v>
      </c>
      <c r="C982">
        <v>63</v>
      </c>
      <c r="D982" t="s">
        <v>70</v>
      </c>
      <c r="E982" t="s">
        <v>26</v>
      </c>
      <c r="F982" t="s">
        <v>43</v>
      </c>
      <c r="G982" s="2">
        <v>45962</v>
      </c>
      <c r="H982" t="s">
        <v>28</v>
      </c>
      <c r="I982" s="3">
        <v>1518962</v>
      </c>
      <c r="J982">
        <v>807</v>
      </c>
      <c r="K982" t="s">
        <v>86</v>
      </c>
      <c r="L982" t="s">
        <v>38</v>
      </c>
      <c r="M982">
        <v>37</v>
      </c>
      <c r="N982" s="3">
        <v>17630.48</v>
      </c>
      <c r="O982" t="s">
        <v>22</v>
      </c>
    </row>
    <row r="983" spans="1:15" x14ac:dyDescent="0.2">
      <c r="A983" t="s">
        <v>1345</v>
      </c>
      <c r="B983" t="s">
        <v>927</v>
      </c>
      <c r="C983">
        <v>63</v>
      </c>
      <c r="D983" t="s">
        <v>70</v>
      </c>
      <c r="E983" t="s">
        <v>26</v>
      </c>
      <c r="F983" t="s">
        <v>18</v>
      </c>
      <c r="G983" s="2">
        <v>46086</v>
      </c>
      <c r="H983" t="s">
        <v>33</v>
      </c>
      <c r="I983" s="3">
        <v>2351847</v>
      </c>
      <c r="J983">
        <v>844</v>
      </c>
      <c r="K983" t="s">
        <v>92</v>
      </c>
      <c r="L983" t="s">
        <v>45</v>
      </c>
      <c r="M983">
        <v>27</v>
      </c>
      <c r="N983" s="3">
        <v>10021.19</v>
      </c>
      <c r="O983" t="s">
        <v>22</v>
      </c>
    </row>
    <row r="984" spans="1:15" x14ac:dyDescent="0.2">
      <c r="A984" t="s">
        <v>1346</v>
      </c>
      <c r="B984" t="s">
        <v>196</v>
      </c>
      <c r="C984">
        <v>36</v>
      </c>
      <c r="D984" t="s">
        <v>37</v>
      </c>
      <c r="E984" t="s">
        <v>26</v>
      </c>
      <c r="F984" t="s">
        <v>18</v>
      </c>
      <c r="G984" s="2">
        <v>46134</v>
      </c>
      <c r="H984" t="s">
        <v>28</v>
      </c>
      <c r="I984" s="3">
        <v>1280120</v>
      </c>
      <c r="J984">
        <v>691</v>
      </c>
      <c r="K984" t="s">
        <v>20</v>
      </c>
      <c r="L984" t="s">
        <v>30</v>
      </c>
      <c r="M984">
        <v>13</v>
      </c>
      <c r="N984" s="3">
        <v>24237.56</v>
      </c>
      <c r="O984" t="s">
        <v>22</v>
      </c>
    </row>
    <row r="985" spans="1:15" x14ac:dyDescent="0.2">
      <c r="A985" t="s">
        <v>1347</v>
      </c>
      <c r="B985" t="s">
        <v>201</v>
      </c>
      <c r="C985">
        <v>22</v>
      </c>
      <c r="D985" t="s">
        <v>75</v>
      </c>
      <c r="E985" t="s">
        <v>83</v>
      </c>
      <c r="F985" t="s">
        <v>18</v>
      </c>
      <c r="G985" s="2">
        <v>45943</v>
      </c>
      <c r="H985" t="s">
        <v>44</v>
      </c>
      <c r="I985" s="3">
        <v>1284780</v>
      </c>
      <c r="J985">
        <v>830</v>
      </c>
      <c r="K985" t="s">
        <v>29</v>
      </c>
      <c r="L985" t="s">
        <v>21</v>
      </c>
      <c r="M985">
        <v>41</v>
      </c>
      <c r="N985" s="3">
        <v>28893.95</v>
      </c>
      <c r="O985" t="s">
        <v>22</v>
      </c>
    </row>
    <row r="986" spans="1:15" x14ac:dyDescent="0.2">
      <c r="A986" t="s">
        <v>1348</v>
      </c>
      <c r="B986" t="s">
        <v>427</v>
      </c>
      <c r="C986">
        <v>54</v>
      </c>
      <c r="D986" t="s">
        <v>25</v>
      </c>
      <c r="E986" t="s">
        <v>56</v>
      </c>
      <c r="F986" t="s">
        <v>27</v>
      </c>
      <c r="G986" s="2">
        <v>45801</v>
      </c>
      <c r="H986" t="s">
        <v>52</v>
      </c>
      <c r="I986" s="3">
        <v>3934334</v>
      </c>
      <c r="J986">
        <v>743</v>
      </c>
      <c r="K986" t="s">
        <v>29</v>
      </c>
      <c r="L986" t="s">
        <v>38</v>
      </c>
      <c r="M986">
        <v>66</v>
      </c>
      <c r="N986" s="3">
        <v>6025.09</v>
      </c>
      <c r="O986" t="s">
        <v>22</v>
      </c>
    </row>
    <row r="987" spans="1:15" x14ac:dyDescent="0.2">
      <c r="A987" t="s">
        <v>1349</v>
      </c>
      <c r="B987" t="s">
        <v>1047</v>
      </c>
      <c r="C987">
        <v>28</v>
      </c>
      <c r="D987" t="s">
        <v>55</v>
      </c>
      <c r="E987" t="s">
        <v>56</v>
      </c>
      <c r="F987" t="s">
        <v>18</v>
      </c>
      <c r="G987" s="2">
        <v>46081</v>
      </c>
      <c r="H987" t="s">
        <v>33</v>
      </c>
      <c r="I987" s="3">
        <v>1714123</v>
      </c>
      <c r="J987">
        <v>747</v>
      </c>
      <c r="K987" t="s">
        <v>57</v>
      </c>
      <c r="L987" t="s">
        <v>21</v>
      </c>
      <c r="M987">
        <v>114</v>
      </c>
      <c r="N987" s="3">
        <v>3480.15</v>
      </c>
      <c r="O987" t="s">
        <v>22</v>
      </c>
    </row>
    <row r="988" spans="1:15" x14ac:dyDescent="0.2">
      <c r="A988" t="s">
        <v>1350</v>
      </c>
      <c r="B988" t="s">
        <v>1117</v>
      </c>
      <c r="C988">
        <v>33</v>
      </c>
      <c r="D988" t="s">
        <v>25</v>
      </c>
      <c r="E988" t="s">
        <v>83</v>
      </c>
      <c r="F988" t="s">
        <v>27</v>
      </c>
      <c r="G988" s="2">
        <v>45676</v>
      </c>
      <c r="H988" t="s">
        <v>44</v>
      </c>
      <c r="I988" s="3">
        <v>2006608</v>
      </c>
      <c r="J988">
        <v>800</v>
      </c>
      <c r="K988" t="s">
        <v>20</v>
      </c>
      <c r="L988" t="s">
        <v>30</v>
      </c>
      <c r="M988">
        <v>85</v>
      </c>
      <c r="N988" s="3">
        <v>8844.31</v>
      </c>
      <c r="O988" t="s">
        <v>22</v>
      </c>
    </row>
    <row r="989" spans="1:15" x14ac:dyDescent="0.2">
      <c r="A989" t="s">
        <v>1351</v>
      </c>
      <c r="B989" t="s">
        <v>1090</v>
      </c>
      <c r="C989">
        <v>62</v>
      </c>
      <c r="D989" t="s">
        <v>105</v>
      </c>
      <c r="E989" t="s">
        <v>26</v>
      </c>
      <c r="F989" t="s">
        <v>27</v>
      </c>
      <c r="G989" s="2">
        <v>45675</v>
      </c>
      <c r="H989" t="s">
        <v>33</v>
      </c>
      <c r="I989" s="3">
        <v>2817228</v>
      </c>
      <c r="J989">
        <v>770</v>
      </c>
      <c r="K989" t="s">
        <v>67</v>
      </c>
      <c r="L989" t="s">
        <v>30</v>
      </c>
      <c r="M989">
        <v>97</v>
      </c>
      <c r="N989" s="3">
        <v>15731.85</v>
      </c>
      <c r="O989" t="s">
        <v>22</v>
      </c>
    </row>
    <row r="990" spans="1:15" x14ac:dyDescent="0.2">
      <c r="A990" t="s">
        <v>1352</v>
      </c>
      <c r="B990" t="s">
        <v>1062</v>
      </c>
      <c r="C990">
        <v>28</v>
      </c>
      <c r="D990" t="s">
        <v>37</v>
      </c>
      <c r="E990" t="s">
        <v>26</v>
      </c>
      <c r="F990" t="s">
        <v>18</v>
      </c>
      <c r="G990" s="2">
        <v>46247</v>
      </c>
      <c r="H990" t="s">
        <v>19</v>
      </c>
      <c r="I990" s="3">
        <v>999045</v>
      </c>
      <c r="J990">
        <v>749</v>
      </c>
      <c r="K990" t="s">
        <v>20</v>
      </c>
      <c r="L990" t="s">
        <v>21</v>
      </c>
      <c r="M990">
        <v>24</v>
      </c>
      <c r="N990" s="3">
        <v>8017.46</v>
      </c>
      <c r="O990" t="s">
        <v>22</v>
      </c>
    </row>
    <row r="991" spans="1:15" x14ac:dyDescent="0.2">
      <c r="A991" t="s">
        <v>1353</v>
      </c>
      <c r="B991" t="s">
        <v>737</v>
      </c>
      <c r="C991">
        <v>50</v>
      </c>
      <c r="D991" t="s">
        <v>75</v>
      </c>
      <c r="E991" t="s">
        <v>17</v>
      </c>
      <c r="F991" t="s">
        <v>27</v>
      </c>
      <c r="G991" s="2">
        <v>46028</v>
      </c>
      <c r="H991" t="s">
        <v>52</v>
      </c>
      <c r="I991" s="3">
        <v>1122109</v>
      </c>
      <c r="J991">
        <v>624</v>
      </c>
      <c r="K991" t="s">
        <v>92</v>
      </c>
      <c r="L991" t="s">
        <v>38</v>
      </c>
      <c r="M991">
        <v>117</v>
      </c>
      <c r="N991" s="3">
        <v>3172.12</v>
      </c>
      <c r="O991" t="s">
        <v>39</v>
      </c>
    </row>
    <row r="992" spans="1:15" x14ac:dyDescent="0.2">
      <c r="A992" t="s">
        <v>1354</v>
      </c>
      <c r="B992" t="s">
        <v>590</v>
      </c>
      <c r="C992">
        <v>52</v>
      </c>
      <c r="D992" t="s">
        <v>51</v>
      </c>
      <c r="E992" t="s">
        <v>26</v>
      </c>
      <c r="F992" t="s">
        <v>27</v>
      </c>
      <c r="G992" s="2">
        <v>45832</v>
      </c>
      <c r="H992" t="s">
        <v>44</v>
      </c>
      <c r="I992" s="3">
        <v>4284480</v>
      </c>
      <c r="J992">
        <v>593</v>
      </c>
      <c r="K992" t="s">
        <v>92</v>
      </c>
      <c r="L992" t="s">
        <v>21</v>
      </c>
      <c r="M992">
        <v>44</v>
      </c>
      <c r="N992" s="3">
        <v>10623.31</v>
      </c>
      <c r="O992" t="s">
        <v>22</v>
      </c>
    </row>
    <row r="993" spans="1:15" x14ac:dyDescent="0.2">
      <c r="A993" t="s">
        <v>1355</v>
      </c>
      <c r="B993" t="s">
        <v>496</v>
      </c>
      <c r="C993">
        <v>56</v>
      </c>
      <c r="D993" t="s">
        <v>16</v>
      </c>
      <c r="E993" t="s">
        <v>26</v>
      </c>
      <c r="F993" t="s">
        <v>27</v>
      </c>
      <c r="G993" s="2">
        <v>45851</v>
      </c>
      <c r="H993" t="s">
        <v>28</v>
      </c>
      <c r="I993" s="3">
        <v>637405</v>
      </c>
      <c r="J993">
        <v>810</v>
      </c>
      <c r="K993" t="s">
        <v>86</v>
      </c>
      <c r="L993" t="s">
        <v>38</v>
      </c>
      <c r="M993">
        <v>106</v>
      </c>
      <c r="N993" s="3">
        <v>1058.73</v>
      </c>
      <c r="O993" t="s">
        <v>22</v>
      </c>
    </row>
    <row r="994" spans="1:15" x14ac:dyDescent="0.2">
      <c r="A994" t="s">
        <v>1356</v>
      </c>
      <c r="B994" t="s">
        <v>296</v>
      </c>
      <c r="C994">
        <v>67</v>
      </c>
      <c r="D994" t="s">
        <v>48</v>
      </c>
      <c r="E994" t="s">
        <v>26</v>
      </c>
      <c r="F994" t="s">
        <v>18</v>
      </c>
      <c r="G994" s="2">
        <v>46159</v>
      </c>
      <c r="H994" t="s">
        <v>28</v>
      </c>
      <c r="I994" s="3">
        <v>1958175</v>
      </c>
      <c r="J994">
        <v>736</v>
      </c>
      <c r="K994" t="s">
        <v>67</v>
      </c>
      <c r="L994" t="s">
        <v>38</v>
      </c>
      <c r="M994">
        <v>98</v>
      </c>
      <c r="N994" s="3">
        <v>6369.75</v>
      </c>
      <c r="O994" t="s">
        <v>22</v>
      </c>
    </row>
    <row r="995" spans="1:15" x14ac:dyDescent="0.2">
      <c r="A995" t="s">
        <v>1357</v>
      </c>
      <c r="B995" t="s">
        <v>77</v>
      </c>
      <c r="C995">
        <v>50</v>
      </c>
      <c r="D995" t="s">
        <v>128</v>
      </c>
      <c r="E995" t="s">
        <v>17</v>
      </c>
      <c r="F995" t="s">
        <v>18</v>
      </c>
      <c r="G995" s="2">
        <v>45770</v>
      </c>
      <c r="H995" t="s">
        <v>33</v>
      </c>
      <c r="I995" s="3">
        <v>3637232</v>
      </c>
      <c r="J995">
        <v>713</v>
      </c>
      <c r="K995" t="s">
        <v>29</v>
      </c>
      <c r="L995" t="s">
        <v>58</v>
      </c>
      <c r="M995">
        <v>60</v>
      </c>
      <c r="N995" s="3">
        <v>21888.66</v>
      </c>
      <c r="O995" t="s">
        <v>22</v>
      </c>
    </row>
    <row r="996" spans="1:15" x14ac:dyDescent="0.2">
      <c r="A996" t="s">
        <v>1358</v>
      </c>
      <c r="B996" t="s">
        <v>62</v>
      </c>
      <c r="C996">
        <v>21</v>
      </c>
      <c r="D996" t="s">
        <v>25</v>
      </c>
      <c r="E996" t="s">
        <v>17</v>
      </c>
      <c r="F996" t="s">
        <v>27</v>
      </c>
      <c r="G996" s="2">
        <v>45771</v>
      </c>
      <c r="H996" t="s">
        <v>28</v>
      </c>
      <c r="I996" s="3">
        <v>3351004</v>
      </c>
      <c r="J996">
        <v>616</v>
      </c>
      <c r="K996" t="s">
        <v>78</v>
      </c>
      <c r="L996" t="s">
        <v>45</v>
      </c>
      <c r="M996">
        <v>9</v>
      </c>
      <c r="N996" s="3">
        <v>23172.240000000002</v>
      </c>
      <c r="O996" t="s">
        <v>22</v>
      </c>
    </row>
    <row r="997" spans="1:15" x14ac:dyDescent="0.2">
      <c r="A997" t="s">
        <v>1359</v>
      </c>
      <c r="B997" t="s">
        <v>921</v>
      </c>
      <c r="C997">
        <v>63</v>
      </c>
      <c r="D997" t="s">
        <v>16</v>
      </c>
      <c r="E997" t="s">
        <v>26</v>
      </c>
      <c r="F997" t="s">
        <v>18</v>
      </c>
      <c r="G997" s="2">
        <v>45879</v>
      </c>
      <c r="H997" t="s">
        <v>33</v>
      </c>
      <c r="I997" s="3">
        <v>3182208</v>
      </c>
      <c r="J997">
        <v>632</v>
      </c>
      <c r="K997" t="s">
        <v>92</v>
      </c>
      <c r="L997" t="s">
        <v>45</v>
      </c>
      <c r="M997">
        <v>2</v>
      </c>
      <c r="N997" s="3">
        <v>500</v>
      </c>
      <c r="O997" t="s">
        <v>22</v>
      </c>
    </row>
    <row r="998" spans="1:15" x14ac:dyDescent="0.2">
      <c r="A998" t="s">
        <v>1360</v>
      </c>
      <c r="B998" t="s">
        <v>354</v>
      </c>
      <c r="C998">
        <v>59</v>
      </c>
      <c r="D998" t="s">
        <v>55</v>
      </c>
      <c r="E998" t="s">
        <v>26</v>
      </c>
      <c r="F998" t="s">
        <v>27</v>
      </c>
      <c r="G998" s="2">
        <v>45921</v>
      </c>
      <c r="H998" t="s">
        <v>28</v>
      </c>
      <c r="I998" s="3">
        <v>2160155</v>
      </c>
      <c r="J998">
        <v>597</v>
      </c>
      <c r="K998" t="s">
        <v>57</v>
      </c>
      <c r="L998" t="s">
        <v>30</v>
      </c>
      <c r="M998">
        <v>119</v>
      </c>
      <c r="N998" s="3">
        <v>7315.76</v>
      </c>
      <c r="O998" t="s">
        <v>22</v>
      </c>
    </row>
    <row r="999" spans="1:15" x14ac:dyDescent="0.2">
      <c r="A999" t="s">
        <v>1361</v>
      </c>
      <c r="B999" t="s">
        <v>549</v>
      </c>
      <c r="C999">
        <v>37</v>
      </c>
      <c r="D999" t="s">
        <v>25</v>
      </c>
      <c r="E999" t="s">
        <v>17</v>
      </c>
      <c r="F999" t="s">
        <v>27</v>
      </c>
      <c r="G999" s="2">
        <v>45712</v>
      </c>
      <c r="H999" t="s">
        <v>33</v>
      </c>
      <c r="I999" s="3">
        <v>1958086</v>
      </c>
      <c r="J999">
        <v>617</v>
      </c>
      <c r="K999" t="s">
        <v>57</v>
      </c>
      <c r="L999" t="s">
        <v>58</v>
      </c>
      <c r="M999">
        <v>56</v>
      </c>
      <c r="N999" s="3">
        <v>16801.77</v>
      </c>
      <c r="O999" t="s">
        <v>22</v>
      </c>
    </row>
    <row r="1000" spans="1:15" x14ac:dyDescent="0.2">
      <c r="A1000" t="s">
        <v>1362</v>
      </c>
      <c r="B1000" t="s">
        <v>630</v>
      </c>
      <c r="C1000">
        <v>40</v>
      </c>
      <c r="D1000" t="s">
        <v>51</v>
      </c>
      <c r="E1000" t="s">
        <v>17</v>
      </c>
      <c r="F1000" t="s">
        <v>18</v>
      </c>
      <c r="G1000" s="2">
        <v>46115</v>
      </c>
      <c r="H1000" t="s">
        <v>28</v>
      </c>
      <c r="I1000" s="3">
        <v>4437442</v>
      </c>
      <c r="J1000">
        <v>766</v>
      </c>
      <c r="K1000" t="s">
        <v>57</v>
      </c>
      <c r="L1000" t="s">
        <v>45</v>
      </c>
      <c r="M1000">
        <v>30</v>
      </c>
      <c r="N1000" s="3">
        <v>2604.81</v>
      </c>
      <c r="O1000" t="s">
        <v>22</v>
      </c>
    </row>
    <row r="1001" spans="1:15" x14ac:dyDescent="0.2">
      <c r="A1001" t="s">
        <v>1363</v>
      </c>
      <c r="B1001" t="s">
        <v>672</v>
      </c>
      <c r="C1001">
        <v>44</v>
      </c>
      <c r="D1001" t="s">
        <v>70</v>
      </c>
      <c r="E1001" t="s">
        <v>26</v>
      </c>
      <c r="F1001" t="s">
        <v>18</v>
      </c>
      <c r="G1001" s="2">
        <v>45819</v>
      </c>
      <c r="H1001" t="s">
        <v>28</v>
      </c>
      <c r="I1001" s="3">
        <v>4062197</v>
      </c>
      <c r="J1001">
        <v>775</v>
      </c>
      <c r="K1001" t="s">
        <v>34</v>
      </c>
      <c r="L1001" t="s">
        <v>38</v>
      </c>
      <c r="M1001">
        <v>22</v>
      </c>
      <c r="N1001" s="3">
        <v>6059.89</v>
      </c>
      <c r="O1001" t="s">
        <v>335</v>
      </c>
    </row>
  </sheetData>
  <pageMargins left="0.75" right="0.75" top="1" bottom="1" header="0.5" footer="0.5"/>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I138"/>
  <sheetViews>
    <sheetView workbookViewId="0">
      <pane ySplit="1" topLeftCell="A66" activePane="bottomLeft" state="frozen"/>
      <selection pane="bottomLeft" activeCell="G77" sqref="G77"/>
    </sheetView>
  </sheetViews>
  <sheetFormatPr baseColWidth="10" defaultColWidth="8.83203125" defaultRowHeight="15" x14ac:dyDescent="0.2"/>
  <cols>
    <col min="1" max="1" width="14" bestFit="1" customWidth="1"/>
    <col min="2" max="2" width="26.6640625" bestFit="1" customWidth="1"/>
    <col min="3" max="3" width="23.6640625" bestFit="1" customWidth="1"/>
    <col min="4" max="4" width="13.83203125" customWidth="1"/>
    <col min="5" max="5" width="16.83203125" customWidth="1"/>
    <col min="6" max="6" width="15" customWidth="1"/>
    <col min="7" max="7" width="23.1640625" customWidth="1"/>
    <col min="8" max="8" width="21.83203125" bestFit="1" customWidth="1"/>
    <col min="9" max="9" width="23.6640625" bestFit="1" customWidth="1"/>
    <col min="10" max="10" width="12.1640625" bestFit="1" customWidth="1"/>
  </cols>
  <sheetData>
    <row r="2" spans="1:9" x14ac:dyDescent="0.2">
      <c r="A2" t="s">
        <v>1365</v>
      </c>
    </row>
    <row r="6" spans="1:9" ht="16" thickBot="1" x14ac:dyDescent="0.25">
      <c r="F6" s="8" t="s">
        <v>1366</v>
      </c>
      <c r="G6" s="8" t="s">
        <v>1367</v>
      </c>
      <c r="H6" s="8" t="s">
        <v>1380</v>
      </c>
      <c r="I6" s="8" t="s">
        <v>1381</v>
      </c>
    </row>
    <row r="7" spans="1:9" ht="16" thickTop="1" x14ac:dyDescent="0.2">
      <c r="A7" t="s">
        <v>1368</v>
      </c>
      <c r="F7">
        <f>COUNTA(DATA!A2:A1001)</f>
        <v>1000</v>
      </c>
      <c r="G7">
        <f>SUM(DATA!N2:N1001)</f>
        <v>14418344.190000011</v>
      </c>
      <c r="H7">
        <f>AVERAGE(DATA!I1:I2)</f>
        <v>4230527</v>
      </c>
      <c r="I7">
        <f>AVERAGE(DATA!N2:N1001)</f>
        <v>14418.344190000011</v>
      </c>
    </row>
    <row r="9" spans="1:9" x14ac:dyDescent="0.2">
      <c r="A9" s="4" t="s">
        <v>1369</v>
      </c>
      <c r="B9" t="s">
        <v>1371</v>
      </c>
    </row>
    <row r="10" spans="1:9" x14ac:dyDescent="0.2">
      <c r="A10" s="5" t="s">
        <v>56</v>
      </c>
      <c r="B10" s="6">
        <v>2429790.3699999987</v>
      </c>
    </row>
    <row r="11" spans="1:9" x14ac:dyDescent="0.2">
      <c r="A11" s="5" t="s">
        <v>17</v>
      </c>
      <c r="B11" s="6">
        <v>3044549.0900000008</v>
      </c>
    </row>
    <row r="12" spans="1:9" x14ac:dyDescent="0.2">
      <c r="A12" s="5" t="s">
        <v>26</v>
      </c>
      <c r="B12" s="6">
        <v>7956160.8999999994</v>
      </c>
    </row>
    <row r="13" spans="1:9" x14ac:dyDescent="0.2">
      <c r="A13" s="5" t="s">
        <v>83</v>
      </c>
      <c r="B13" s="6">
        <v>987843.83000000019</v>
      </c>
    </row>
    <row r="14" spans="1:9" x14ac:dyDescent="0.2">
      <c r="A14" s="5" t="s">
        <v>1370</v>
      </c>
      <c r="B14" s="3">
        <v>14418344.189999999</v>
      </c>
    </row>
    <row r="18" spans="1:2" x14ac:dyDescent="0.2">
      <c r="A18" s="7"/>
    </row>
    <row r="19" spans="1:2" x14ac:dyDescent="0.2">
      <c r="A19" t="s">
        <v>1372</v>
      </c>
    </row>
    <row r="20" spans="1:2" x14ac:dyDescent="0.2">
      <c r="A20" s="4" t="s">
        <v>1369</v>
      </c>
      <c r="B20" t="s">
        <v>1371</v>
      </c>
    </row>
    <row r="21" spans="1:2" x14ac:dyDescent="0.2">
      <c r="A21" s="5" t="s">
        <v>43</v>
      </c>
      <c r="B21" s="6">
        <v>2099256.9799999995</v>
      </c>
    </row>
    <row r="22" spans="1:2" x14ac:dyDescent="0.2">
      <c r="A22" s="5" t="s">
        <v>100</v>
      </c>
      <c r="B22" s="6">
        <v>2251937.6800000002</v>
      </c>
    </row>
    <row r="23" spans="1:2" x14ac:dyDescent="0.2">
      <c r="A23" s="5" t="s">
        <v>18</v>
      </c>
      <c r="B23" s="6">
        <v>2913464.4600000018</v>
      </c>
    </row>
    <row r="24" spans="1:2" x14ac:dyDescent="0.2">
      <c r="A24" s="5" t="s">
        <v>27</v>
      </c>
      <c r="B24" s="6">
        <v>7153685.0699999966</v>
      </c>
    </row>
    <row r="25" spans="1:2" x14ac:dyDescent="0.2">
      <c r="A25" s="5" t="s">
        <v>1370</v>
      </c>
      <c r="B25" s="6">
        <v>14418344.189999998</v>
      </c>
    </row>
    <row r="37" spans="1:2" x14ac:dyDescent="0.2">
      <c r="A37" s="7"/>
    </row>
    <row r="38" spans="1:2" x14ac:dyDescent="0.2">
      <c r="A38" t="s">
        <v>1373</v>
      </c>
    </row>
    <row r="40" spans="1:2" x14ac:dyDescent="0.2">
      <c r="A40" s="4" t="s">
        <v>1369</v>
      </c>
      <c r="B40" t="s">
        <v>1371</v>
      </c>
    </row>
    <row r="41" spans="1:2" x14ac:dyDescent="0.2">
      <c r="A41" s="5" t="s">
        <v>75</v>
      </c>
      <c r="B41" s="6">
        <v>992233.30999999982</v>
      </c>
    </row>
    <row r="42" spans="1:2" x14ac:dyDescent="0.2">
      <c r="A42" s="5" t="s">
        <v>55</v>
      </c>
      <c r="B42" s="6">
        <v>1179023.5199999996</v>
      </c>
    </row>
    <row r="43" spans="1:2" x14ac:dyDescent="0.2">
      <c r="A43" s="5" t="s">
        <v>70</v>
      </c>
      <c r="B43" s="6">
        <v>1193150.6699999997</v>
      </c>
    </row>
    <row r="44" spans="1:2" x14ac:dyDescent="0.2">
      <c r="A44" s="5" t="s">
        <v>48</v>
      </c>
      <c r="B44" s="6">
        <v>1116798.06</v>
      </c>
    </row>
    <row r="45" spans="1:2" x14ac:dyDescent="0.2">
      <c r="A45" s="5" t="s">
        <v>105</v>
      </c>
      <c r="B45" s="6">
        <v>1739036.19</v>
      </c>
    </row>
    <row r="46" spans="1:2" x14ac:dyDescent="0.2">
      <c r="A46" s="5" t="s">
        <v>37</v>
      </c>
      <c r="B46" s="6">
        <v>1064600.5999999999</v>
      </c>
    </row>
    <row r="47" spans="1:2" x14ac:dyDescent="0.2">
      <c r="A47" s="5" t="s">
        <v>25</v>
      </c>
      <c r="B47" s="6">
        <v>1274000.6599999999</v>
      </c>
    </row>
    <row r="48" spans="1:2" x14ac:dyDescent="0.2">
      <c r="A48" s="5" t="s">
        <v>42</v>
      </c>
      <c r="B48" s="6">
        <v>1066647.5499999998</v>
      </c>
    </row>
    <row r="49" spans="1:2" x14ac:dyDescent="0.2">
      <c r="A49" s="5" t="s">
        <v>128</v>
      </c>
      <c r="B49" s="6">
        <v>1115196.2600000002</v>
      </c>
    </row>
    <row r="50" spans="1:2" x14ac:dyDescent="0.2">
      <c r="A50" s="5" t="s">
        <v>51</v>
      </c>
      <c r="B50" s="6">
        <v>1549574.7499999998</v>
      </c>
    </row>
    <row r="51" spans="1:2" x14ac:dyDescent="0.2">
      <c r="A51" s="5" t="s">
        <v>16</v>
      </c>
      <c r="B51" s="6">
        <v>1062930.1500000004</v>
      </c>
    </row>
    <row r="52" spans="1:2" x14ac:dyDescent="0.2">
      <c r="A52" s="5" t="s">
        <v>89</v>
      </c>
      <c r="B52" s="6">
        <v>1065152.4700000002</v>
      </c>
    </row>
    <row r="53" spans="1:2" x14ac:dyDescent="0.2">
      <c r="A53" s="5" t="s">
        <v>1370</v>
      </c>
      <c r="B53" s="6">
        <v>14418344.189999999</v>
      </c>
    </row>
    <row r="65" spans="1:2" x14ac:dyDescent="0.2">
      <c r="A65" s="7"/>
    </row>
    <row r="66" spans="1:2" x14ac:dyDescent="0.2">
      <c r="A66" t="s">
        <v>1374</v>
      </c>
    </row>
    <row r="69" spans="1:2" x14ac:dyDescent="0.2">
      <c r="A69" s="4" t="s">
        <v>1369</v>
      </c>
      <c r="B69" t="s">
        <v>1371</v>
      </c>
    </row>
    <row r="70" spans="1:2" x14ac:dyDescent="0.2">
      <c r="A70" s="5" t="s">
        <v>29</v>
      </c>
      <c r="B70" s="6">
        <v>2084620.2300000002</v>
      </c>
    </row>
    <row r="71" spans="1:2" x14ac:dyDescent="0.2">
      <c r="A71" s="5" t="s">
        <v>20</v>
      </c>
      <c r="B71" s="6">
        <v>1515681.53</v>
      </c>
    </row>
    <row r="72" spans="1:2" x14ac:dyDescent="0.2">
      <c r="A72" s="5" t="s">
        <v>34</v>
      </c>
      <c r="B72" s="6">
        <v>1910176.2799999993</v>
      </c>
    </row>
    <row r="73" spans="1:2" x14ac:dyDescent="0.2">
      <c r="A73" s="5" t="s">
        <v>86</v>
      </c>
      <c r="B73" s="6">
        <v>2138899</v>
      </c>
    </row>
    <row r="74" spans="1:2" x14ac:dyDescent="0.2">
      <c r="A74" s="5" t="s">
        <v>57</v>
      </c>
      <c r="B74" s="6">
        <v>1426490.3799999992</v>
      </c>
    </row>
    <row r="75" spans="1:2" x14ac:dyDescent="0.2">
      <c r="A75" s="5" t="s">
        <v>67</v>
      </c>
      <c r="B75" s="6">
        <v>1871231.0999999994</v>
      </c>
    </row>
    <row r="76" spans="1:2" x14ac:dyDescent="0.2">
      <c r="A76" s="5" t="s">
        <v>78</v>
      </c>
      <c r="B76" s="6">
        <v>1688933.1099999992</v>
      </c>
    </row>
    <row r="77" spans="1:2" x14ac:dyDescent="0.2">
      <c r="A77" s="5" t="s">
        <v>92</v>
      </c>
      <c r="B77" s="6">
        <v>1782312.56</v>
      </c>
    </row>
    <row r="78" spans="1:2" x14ac:dyDescent="0.2">
      <c r="A78" s="5" t="s">
        <v>1370</v>
      </c>
      <c r="B78" s="6">
        <v>14418344.189999998</v>
      </c>
    </row>
    <row r="87" spans="1:3" x14ac:dyDescent="0.2">
      <c r="A87" s="7"/>
    </row>
    <row r="88" spans="1:3" x14ac:dyDescent="0.2">
      <c r="A88" s="7"/>
    </row>
    <row r="89" spans="1:3" x14ac:dyDescent="0.2">
      <c r="A89" t="s">
        <v>1376</v>
      </c>
    </row>
    <row r="90" spans="1:3" x14ac:dyDescent="0.2">
      <c r="A90" s="4" t="s">
        <v>1369</v>
      </c>
      <c r="B90" t="s">
        <v>1383</v>
      </c>
      <c r="C90" t="s">
        <v>1382</v>
      </c>
    </row>
    <row r="91" spans="1:3" x14ac:dyDescent="0.2">
      <c r="A91" s="5" t="s">
        <v>52</v>
      </c>
      <c r="B91" s="6">
        <v>2285346.3214285714</v>
      </c>
      <c r="C91" s="6">
        <v>12537.135</v>
      </c>
    </row>
    <row r="92" spans="1:3" x14ac:dyDescent="0.2">
      <c r="A92" s="5" t="s">
        <v>44</v>
      </c>
      <c r="B92" s="6">
        <v>2388082.4873949578</v>
      </c>
      <c r="C92" s="6">
        <v>15617.759075630252</v>
      </c>
    </row>
    <row r="93" spans="1:3" x14ac:dyDescent="0.2">
      <c r="A93" s="5" t="s">
        <v>19</v>
      </c>
      <c r="B93" s="6">
        <v>2396966.03125</v>
      </c>
      <c r="C93" s="6">
        <v>16687.697031249998</v>
      </c>
    </row>
    <row r="94" spans="1:3" x14ac:dyDescent="0.2">
      <c r="A94" s="5" t="s">
        <v>28</v>
      </c>
      <c r="B94" s="6">
        <v>2357278.6653696499</v>
      </c>
      <c r="C94" s="6">
        <v>14353.900369649798</v>
      </c>
    </row>
    <row r="95" spans="1:3" x14ac:dyDescent="0.2">
      <c r="A95" s="5" t="s">
        <v>33</v>
      </c>
      <c r="B95" s="6">
        <v>2519024.8324022344</v>
      </c>
      <c r="C95" s="6">
        <v>14654.100893854751</v>
      </c>
    </row>
    <row r="96" spans="1:3" x14ac:dyDescent="0.2">
      <c r="A96" s="5" t="s">
        <v>1375</v>
      </c>
      <c r="B96" s="6">
        <v>2059911.75</v>
      </c>
      <c r="C96" s="6">
        <v>7222.5233333333335</v>
      </c>
    </row>
    <row r="97" spans="1:3" x14ac:dyDescent="0.2">
      <c r="A97" s="5" t="s">
        <v>1370</v>
      </c>
      <c r="B97" s="6">
        <v>2380812.0499999998</v>
      </c>
      <c r="C97" s="6">
        <v>14418.344190000014</v>
      </c>
    </row>
    <row r="112" spans="1:3" x14ac:dyDescent="0.2">
      <c r="A112" t="s">
        <v>1378</v>
      </c>
    </row>
    <row r="114" spans="1:2" x14ac:dyDescent="0.2">
      <c r="A114" s="4" t="s">
        <v>1369</v>
      </c>
      <c r="B114" t="s">
        <v>1377</v>
      </c>
    </row>
    <row r="115" spans="1:2" x14ac:dyDescent="0.2">
      <c r="A115" s="5" t="s">
        <v>45</v>
      </c>
      <c r="B115" s="6">
        <v>3065389.5499999993</v>
      </c>
    </row>
    <row r="116" spans="1:2" x14ac:dyDescent="0.2">
      <c r="A116" s="5" t="s">
        <v>30</v>
      </c>
      <c r="B116" s="6">
        <v>2516925.9800000018</v>
      </c>
    </row>
    <row r="117" spans="1:2" x14ac:dyDescent="0.2">
      <c r="A117" s="5" t="s">
        <v>58</v>
      </c>
      <c r="B117" s="6">
        <v>2909418.0900000026</v>
      </c>
    </row>
    <row r="118" spans="1:2" x14ac:dyDescent="0.2">
      <c r="A118" s="5" t="s">
        <v>21</v>
      </c>
      <c r="B118" s="6">
        <v>2617446.6800000002</v>
      </c>
    </row>
    <row r="119" spans="1:2" x14ac:dyDescent="0.2">
      <c r="A119" s="5" t="s">
        <v>38</v>
      </c>
      <c r="B119" s="6">
        <v>3175500.5500000021</v>
      </c>
    </row>
    <row r="120" spans="1:2" x14ac:dyDescent="0.2">
      <c r="A120" s="5" t="s">
        <v>1370</v>
      </c>
      <c r="B120" s="6">
        <v>14284680.850000007</v>
      </c>
    </row>
    <row r="130" spans="1:2" x14ac:dyDescent="0.2">
      <c r="A130" s="7"/>
    </row>
    <row r="131" spans="1:2" x14ac:dyDescent="0.2">
      <c r="A131" t="s">
        <v>1379</v>
      </c>
    </row>
    <row r="134" spans="1:2" x14ac:dyDescent="0.2">
      <c r="A134" s="4" t="s">
        <v>1369</v>
      </c>
      <c r="B134" t="s">
        <v>1377</v>
      </c>
    </row>
    <row r="135" spans="1:2" x14ac:dyDescent="0.2">
      <c r="A135" s="5" t="s">
        <v>22</v>
      </c>
      <c r="B135" s="6">
        <v>13020772.72000001</v>
      </c>
    </row>
    <row r="136" spans="1:2" x14ac:dyDescent="0.2">
      <c r="A136" s="5" t="s">
        <v>335</v>
      </c>
      <c r="B136" s="6">
        <v>408776.25000000006</v>
      </c>
    </row>
    <row r="137" spans="1:2" x14ac:dyDescent="0.2">
      <c r="A137" s="5" t="s">
        <v>39</v>
      </c>
      <c r="B137" s="6">
        <v>988795.2200000002</v>
      </c>
    </row>
    <row r="138" spans="1:2" x14ac:dyDescent="0.2">
      <c r="A138" s="5" t="s">
        <v>1370</v>
      </c>
      <c r="B138" s="6">
        <v>14418344.190000011</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DFF63-8E29-A74C-8292-094C4986DEB2}">
  <dimension ref="A1"/>
  <sheetViews>
    <sheetView showGridLines="0" zoomScale="80" zoomScaleNormal="80" workbookViewId="0">
      <selection activeCell="M10" sqref="M10"/>
    </sheetView>
  </sheetViews>
  <sheetFormatPr baseColWidth="10" defaultRowHeight="15"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938A7-2A03-0C46-B13B-0F9746745784}">
  <dimension ref="A1"/>
  <sheetViews>
    <sheetView showGridLines="0" workbookViewId="0"/>
  </sheetViews>
  <sheetFormatPr baseColWidth="10" defaultRowHeight="15" x14ac:dyDescent="0.2"/>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 Table</vt:lpstr>
      <vt:lpstr>Dashboard</vt:lpstr>
      <vt:lpstr>Final 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sambhavdas121</cp:lastModifiedBy>
  <dcterms:created xsi:type="dcterms:W3CDTF">2026-09-05T14:29:16Z</dcterms:created>
  <dcterms:modified xsi:type="dcterms:W3CDTF">2026-09-08T17:58:25Z</dcterms:modified>
</cp:coreProperties>
</file>